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vel Balance" sheetId="1" state="visible" r:id="rId1"/>
    <sheet xmlns:r="http://schemas.openxmlformats.org/officeDocument/2006/relationships" name="Difficulty Weighting" sheetId="2" state="visible" r:id="rId2"/>
    <sheet xmlns:r="http://schemas.openxmlformats.org/officeDocument/2006/relationships" name="Difficulty Scor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=1]&quot;Yes&quot;;[=0]&quot;No&quot;;General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6B7280"/>
      <sz val="10"/>
    </font>
    <font>
      <name val="Arial"/>
      <i val="1"/>
      <color rgb="FF6B7280"/>
      <sz val="11"/>
    </font>
    <font>
      <name val="Arial"/>
      <b val="1"/>
      <color rgb="FFB91C1C"/>
      <sz val="11"/>
    </font>
    <font>
      <name val="Arial"/>
      <b val="1"/>
      <sz val="11"/>
    </font>
    <font>
      <name val="Arial"/>
      <b val="1"/>
      <color rgb="FF15803D"/>
      <sz val="11"/>
    </font>
    <font>
      <name val="Arial"/>
      <b val="1"/>
      <color rgb="FFB91C1C"/>
      <sz val="12"/>
    </font>
  </fonts>
  <fills count="5">
    <fill>
      <patternFill/>
    </fill>
    <fill>
      <patternFill patternType="gray125"/>
    </fill>
    <fill>
      <patternFill patternType="solid">
        <fgColor rgb="FF0F2745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double">
        <color rgb="FF000000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4" fillId="0" borderId="1" pivotButton="0" quotePrefix="0" xfId="0"/>
    <xf numFmtId="165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/>
    </xf>
    <xf numFmtId="0" fontId="6" fillId="0" borderId="2" pivotButton="0" quotePrefix="0" xfId="0"/>
    <xf numFmtId="0" fontId="0" fillId="0" borderId="1" pivotButton="0" quotePrefix="0" xfId="0"/>
    <xf numFmtId="2" fontId="6" fillId="0" borderId="2" applyAlignment="1" pivotButton="0" quotePrefix="0" xfId="0">
      <alignment horizontal="center"/>
    </xf>
    <xf numFmtId="0" fontId="6" fillId="4" borderId="0" pivotButton="0" quotePrefix="0" xfId="0"/>
    <xf numFmtId="164" fontId="8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2" ySplit="1" topLeftCell="C2" activePane="bottomRight" state="frozen"/>
      <selection pane="bottomRight" activeCell="A1" sqref="A1"/>
    </sheetView>
  </sheetViews>
  <sheetFormatPr baseColWidth="8" defaultRowHeight="15" outlineLevelRow="0"/>
  <cols>
    <col width="40" customWidth="1" min="1" max="1"/>
    <col width="26" customWidth="1" min="2" max="2"/>
    <col width="13" customWidth="1" min="3" max="8"/>
  </cols>
  <sheetData>
    <row r="1" ht="22" customHeight="1">
      <c r="A1" s="1" t="inlineStr">
        <is>
          <t>Parameter</t>
        </is>
      </c>
      <c r="B1" s="1" t="inlineStr">
        <is>
          <t>Category</t>
        </is>
      </c>
      <c r="C1" s="1" t="inlineStr">
        <is>
          <t>Tutorial</t>
        </is>
      </c>
      <c r="D1" s="1" t="inlineStr">
        <is>
          <t>Level 1</t>
        </is>
      </c>
      <c r="E1" s="1" t="inlineStr">
        <is>
          <t>Level 2</t>
        </is>
      </c>
      <c r="F1" s="1" t="inlineStr">
        <is>
          <t>Level 3</t>
        </is>
      </c>
      <c r="G1" s="1" t="inlineStr">
        <is>
          <t>Level 4</t>
        </is>
      </c>
      <c r="H1" s="1" t="inlineStr">
        <is>
          <t>Level 5</t>
        </is>
      </c>
    </row>
    <row r="2">
      <c r="A2" s="2" t="inlineStr">
        <is>
          <t>Total Play Time (sec)</t>
        </is>
      </c>
      <c r="B2" s="3" t="inlineStr">
        <is>
          <t>Core Settings</t>
        </is>
      </c>
      <c r="C2" s="4" t="n">
        <v>300</v>
      </c>
      <c r="D2" s="4" t="n">
        <v>120</v>
      </c>
      <c r="E2" s="4" t="n">
        <v>135</v>
      </c>
      <c r="F2" s="4" t="n">
        <v>150</v>
      </c>
      <c r="G2" s="4" t="n">
        <v>165</v>
      </c>
      <c r="H2" s="4" t="n">
        <v>180</v>
      </c>
    </row>
    <row r="3">
      <c r="A3" s="2" t="inlineStr">
        <is>
          <t>Player Max Health</t>
        </is>
      </c>
      <c r="B3" s="3" t="inlineStr">
        <is>
          <t>Core Settings</t>
        </is>
      </c>
      <c r="C3" s="4" t="n">
        <v>999</v>
      </c>
      <c r="D3" s="4" t="n">
        <v>115</v>
      </c>
      <c r="E3" s="4" t="n">
        <v>118</v>
      </c>
      <c r="F3" s="4" t="n">
        <v>128</v>
      </c>
      <c r="G3" s="4" t="n">
        <v>135</v>
      </c>
      <c r="H3" s="4" t="n">
        <v>140</v>
      </c>
    </row>
    <row r="4">
      <c r="A4" s="2" t="inlineStr">
        <is>
          <t>Danger Threshold (%)</t>
        </is>
      </c>
      <c r="B4" s="3" t="inlineStr">
        <is>
          <t>Core Settings</t>
        </is>
      </c>
      <c r="C4" s="4" t="n">
        <v>1</v>
      </c>
      <c r="D4" s="4" t="n">
        <v>25</v>
      </c>
      <c r="E4" s="4" t="n">
        <v>25</v>
      </c>
      <c r="F4" s="4" t="n">
        <v>20</v>
      </c>
      <c r="G4" s="4" t="n">
        <v>20</v>
      </c>
      <c r="H4" s="4" t="n">
        <v>20</v>
      </c>
    </row>
    <row r="5">
      <c r="A5" s="2" t="inlineStr">
        <is>
          <t>Max Cells (population cap)</t>
        </is>
      </c>
      <c r="B5" s="3" t="inlineStr">
        <is>
          <t>Core Settings</t>
        </is>
      </c>
      <c r="C5" s="4" t="n">
        <v>20</v>
      </c>
      <c r="D5" s="4" t="n">
        <v>115</v>
      </c>
      <c r="E5" s="4" t="n">
        <v>135</v>
      </c>
      <c r="F5" s="4" t="n">
        <v>165</v>
      </c>
      <c r="G5" s="4" t="n">
        <v>180</v>
      </c>
      <c r="H5" s="4" t="n">
        <v>195</v>
      </c>
    </row>
    <row r="6">
      <c r="A6" s="2" t="inlineStr">
        <is>
          <t>Cancer Damage Interval (sec)</t>
        </is>
      </c>
      <c r="B6" s="3" t="inlineStr">
        <is>
          <t>Core Settings</t>
        </is>
      </c>
      <c r="C6" s="4" t="n">
        <v>999</v>
      </c>
      <c r="D6" s="4" t="n">
        <v>6</v>
      </c>
      <c r="E6" s="5" t="n">
        <v>5.5</v>
      </c>
      <c r="F6" s="5" t="n">
        <v>5.2</v>
      </c>
      <c r="G6" s="4" t="n">
        <v>5</v>
      </c>
      <c r="H6" s="4" t="n">
        <v>5</v>
      </c>
    </row>
    <row r="7">
      <c r="A7" s="2" t="inlineStr">
        <is>
          <t>Max Attackers Per Cancer Cell</t>
        </is>
      </c>
      <c r="B7" s="3" t="inlineStr">
        <is>
          <t>Core Settings</t>
        </is>
      </c>
      <c r="C7" s="4" t="n">
        <v>6</v>
      </c>
      <c r="D7" s="4" t="n">
        <v>3</v>
      </c>
      <c r="E7" s="4" t="n">
        <v>3</v>
      </c>
      <c r="F7" s="4" t="n">
        <v>2</v>
      </c>
      <c r="G7" s="4" t="n">
        <v>2</v>
      </c>
      <c r="H7" s="4" t="n">
        <v>2</v>
      </c>
    </row>
    <row r="8">
      <c r="A8" s="2" t="inlineStr">
        <is>
          <t>Allow Cancer Cell Dragging</t>
        </is>
      </c>
      <c r="B8" s="3" t="inlineStr">
        <is>
          <t>Core Settings</t>
        </is>
      </c>
      <c r="C8" s="6" t="n">
        <v>0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0</v>
      </c>
    </row>
    <row r="9">
      <c r="A9" s="2" t="inlineStr">
        <is>
          <t>Cancer Cells Can Attack Healthy</t>
        </is>
      </c>
      <c r="B9" s="3" t="inlineStr">
        <is>
          <t>Core Settings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1</v>
      </c>
      <c r="H9" s="6" t="n">
        <v>1</v>
      </c>
    </row>
    <row r="10">
      <c r="A10" s="7" t="inlineStr">
        <is>
          <t>Win If All Cancer Destroyed Early</t>
        </is>
      </c>
      <c r="B10" s="3" t="inlineStr">
        <is>
          <t>Core Settings</t>
        </is>
      </c>
      <c r="C10" s="8" t="n">
        <v>1</v>
      </c>
      <c r="D10" s="8" t="n">
        <v>1</v>
      </c>
      <c r="E10" s="8" t="n">
        <v>1</v>
      </c>
      <c r="F10" s="8" t="n">
        <v>1</v>
      </c>
      <c r="G10" s="8" t="n">
        <v>1</v>
      </c>
      <c r="H10" s="8" t="n">
        <v>1</v>
      </c>
    </row>
    <row r="11">
      <c r="A11" s="2" t="inlineStr">
        <is>
          <t>R-Cell Share (%)</t>
        </is>
      </c>
      <c r="B11" s="3" t="inlineStr">
        <is>
          <t>Cell Distribution (%)</t>
        </is>
      </c>
      <c r="C11" s="4" t="n">
        <v>34</v>
      </c>
      <c r="D11" s="4" t="n">
        <v>60</v>
      </c>
      <c r="E11" s="4" t="n">
        <v>55</v>
      </c>
      <c r="F11" s="4" t="n">
        <v>50</v>
      </c>
      <c r="G11" s="4" t="n">
        <v>48</v>
      </c>
      <c r="H11" s="4" t="n">
        <v>45</v>
      </c>
    </row>
    <row r="12">
      <c r="A12" s="2" t="inlineStr">
        <is>
          <t>T-Cell Share (%)</t>
        </is>
      </c>
      <c r="B12" s="3" t="inlineStr">
        <is>
          <t>Cell Distribution (%)</t>
        </is>
      </c>
      <c r="C12" s="4" t="n">
        <v>17</v>
      </c>
      <c r="D12" s="4" t="n">
        <v>13</v>
      </c>
      <c r="E12" s="4" t="n">
        <v>15</v>
      </c>
      <c r="F12" s="4" t="n">
        <v>17</v>
      </c>
      <c r="G12" s="4" t="n">
        <v>18</v>
      </c>
      <c r="H12" s="4" t="n">
        <v>19</v>
      </c>
    </row>
    <row r="13">
      <c r="A13" s="2" t="inlineStr">
        <is>
          <t>K-Cell Share (%)</t>
        </is>
      </c>
      <c r="B13" s="3" t="inlineStr">
        <is>
          <t>Cell Distribution (%)</t>
        </is>
      </c>
      <c r="C13" s="4" t="n">
        <v>17</v>
      </c>
      <c r="D13" s="4" t="n">
        <v>11</v>
      </c>
      <c r="E13" s="4" t="n">
        <v>12</v>
      </c>
      <c r="F13" s="4" t="n">
        <v>14</v>
      </c>
      <c r="G13" s="4" t="n">
        <v>15</v>
      </c>
      <c r="H13" s="4" t="n">
        <v>16</v>
      </c>
    </row>
    <row r="14">
      <c r="A14" s="2" t="inlineStr">
        <is>
          <t>Cancer Cell Share (%)</t>
        </is>
      </c>
      <c r="B14" s="3" t="inlineStr">
        <is>
          <t>Cell Distribution (%)</t>
        </is>
      </c>
      <c r="C14" s="4" t="n">
        <v>16</v>
      </c>
      <c r="D14" s="4" t="n">
        <v>10</v>
      </c>
      <c r="E14" s="4" t="n">
        <v>10</v>
      </c>
      <c r="F14" s="4" t="n">
        <v>11</v>
      </c>
      <c r="G14" s="4" t="n">
        <v>11</v>
      </c>
      <c r="H14" s="4" t="n">
        <v>11</v>
      </c>
    </row>
    <row r="15">
      <c r="A15" s="2" t="inlineStr">
        <is>
          <t>Smart Cancer Cell Share (%)</t>
        </is>
      </c>
      <c r="B15" s="3" t="inlineStr">
        <is>
          <t>Cell Distribution (%)</t>
        </is>
      </c>
      <c r="C15" s="4" t="n">
        <v>16</v>
      </c>
      <c r="D15" s="4" t="n">
        <v>6</v>
      </c>
      <c r="E15" s="4" t="n">
        <v>8</v>
      </c>
      <c r="F15" s="4" t="n">
        <v>8</v>
      </c>
      <c r="G15" s="4" t="n">
        <v>8</v>
      </c>
      <c r="H15" s="4" t="n">
        <v>9</v>
      </c>
    </row>
    <row r="16">
      <c r="A16" s="2" t="inlineStr">
        <is>
          <t>T-Cell Click Damage</t>
        </is>
      </c>
      <c r="B16" s="3" t="inlineStr">
        <is>
          <t>Player Damage Output</t>
        </is>
      </c>
      <c r="C16" s="4" t="n">
        <v>20</v>
      </c>
      <c r="D16" s="4" t="n">
        <v>6</v>
      </c>
      <c r="E16" s="4" t="n">
        <v>9</v>
      </c>
      <c r="F16" s="4" t="n">
        <v>12</v>
      </c>
      <c r="G16" s="4" t="n">
        <v>11</v>
      </c>
      <c r="H16" s="4" t="n">
        <v>14</v>
      </c>
    </row>
    <row r="17">
      <c r="A17" s="2" t="inlineStr">
        <is>
          <t>K-Cell Click Damage</t>
        </is>
      </c>
      <c r="B17" s="3" t="inlineStr">
        <is>
          <t>Player Damage Output</t>
        </is>
      </c>
      <c r="C17" s="4" t="n">
        <v>20</v>
      </c>
      <c r="D17" s="4" t="n">
        <v>5</v>
      </c>
      <c r="E17" s="4" t="n">
        <v>8</v>
      </c>
      <c r="F17" s="4" t="n">
        <v>11</v>
      </c>
      <c r="G17" s="4" t="n">
        <v>10</v>
      </c>
      <c r="H17" s="4" t="n">
        <v>13</v>
      </c>
    </row>
    <row r="18">
      <c r="A18" s="2" t="inlineStr">
        <is>
          <t>T-Cell Auto DPS</t>
        </is>
      </c>
      <c r="B18" s="3" t="inlineStr">
        <is>
          <t>Player Damage Output</t>
        </is>
      </c>
      <c r="C18" s="4" t="n">
        <v>10</v>
      </c>
      <c r="D18" s="5" t="n">
        <v>2.4</v>
      </c>
      <c r="E18" s="5" t="n">
        <v>4.2</v>
      </c>
      <c r="F18" s="5" t="n">
        <v>5.3</v>
      </c>
      <c r="G18" s="4" t="n">
        <v>5</v>
      </c>
      <c r="H18" s="5" t="n">
        <v>6.3</v>
      </c>
    </row>
    <row r="19">
      <c r="A19" s="2" t="inlineStr">
        <is>
          <t>K-Cell Auto DPS</t>
        </is>
      </c>
      <c r="B19" s="3" t="inlineStr">
        <is>
          <t>Player Damage Output</t>
        </is>
      </c>
      <c r="C19" s="4" t="n">
        <v>10</v>
      </c>
      <c r="D19" s="4" t="n">
        <v>2</v>
      </c>
      <c r="E19" s="5" t="n">
        <v>3.6</v>
      </c>
      <c r="F19" s="5" t="n">
        <v>4.9</v>
      </c>
      <c r="G19" s="5" t="n">
        <v>4.4</v>
      </c>
      <c r="H19" s="5" t="n">
        <v>5.6</v>
      </c>
    </row>
    <row r="20">
      <c r="A20" s="2" t="inlineStr">
        <is>
          <t>Cancer Cell Health</t>
        </is>
      </c>
      <c r="B20" s="3" t="inlineStr">
        <is>
          <t>Cancer Cell Health</t>
        </is>
      </c>
      <c r="C20" s="4" t="n">
        <v>40</v>
      </c>
      <c r="D20" s="4" t="n">
        <v>130</v>
      </c>
      <c r="E20" s="4" t="n">
        <v>140</v>
      </c>
      <c r="F20" s="4" t="n">
        <v>152</v>
      </c>
      <c r="G20" s="4" t="n">
        <v>165</v>
      </c>
      <c r="H20" s="4" t="n">
        <v>178</v>
      </c>
    </row>
    <row r="21">
      <c r="A21" s="2" t="inlineStr">
        <is>
          <t>Smart Cancer Cell Health</t>
        </is>
      </c>
      <c r="B21" s="3" t="inlineStr">
        <is>
          <t>Cancer Cell Health</t>
        </is>
      </c>
      <c r="C21" s="4" t="n">
        <v>40</v>
      </c>
      <c r="D21" s="4" t="n">
        <v>115</v>
      </c>
      <c r="E21" s="4" t="n">
        <v>132</v>
      </c>
      <c r="F21" s="4" t="n">
        <v>148</v>
      </c>
      <c r="G21" s="4" t="n">
        <v>155</v>
      </c>
      <c r="H21" s="4" t="n">
        <v>168</v>
      </c>
    </row>
    <row r="22">
      <c r="A22" s="2" t="inlineStr">
        <is>
          <t>R-Cell Split Time (avg sec)</t>
        </is>
      </c>
      <c r="B22" s="3" t="inlineStr">
        <is>
          <t>Split Time (avg of min/max, sec)</t>
        </is>
      </c>
      <c r="C22" s="4" t="n">
        <v>999</v>
      </c>
      <c r="D22" s="5" t="n">
        <v>18.5</v>
      </c>
      <c r="E22" s="5" t="n">
        <v>16.5</v>
      </c>
      <c r="F22" s="4" t="n">
        <v>15</v>
      </c>
      <c r="G22" s="4" t="n">
        <v>14</v>
      </c>
      <c r="H22" s="4" t="n">
        <v>13</v>
      </c>
    </row>
    <row r="23">
      <c r="A23" s="2" t="inlineStr">
        <is>
          <t>T-Cell Split Time (avg sec)</t>
        </is>
      </c>
      <c r="B23" s="3" t="inlineStr">
        <is>
          <t>Split Time (avg of min/max, sec)</t>
        </is>
      </c>
      <c r="C23" s="4" t="n">
        <v>999</v>
      </c>
      <c r="D23" s="4" t="n">
        <v>29</v>
      </c>
      <c r="E23" s="4" t="n">
        <v>26</v>
      </c>
      <c r="F23" s="4" t="n">
        <v>24</v>
      </c>
      <c r="G23" s="4" t="n">
        <v>22</v>
      </c>
      <c r="H23" s="4" t="n">
        <v>20</v>
      </c>
    </row>
    <row r="24">
      <c r="A24" s="2" t="inlineStr">
        <is>
          <t>K-Cell Split Time (avg sec)</t>
        </is>
      </c>
      <c r="B24" s="3" t="inlineStr">
        <is>
          <t>Split Time (avg of min/max, sec)</t>
        </is>
      </c>
      <c r="C24" s="4" t="n">
        <v>999</v>
      </c>
      <c r="D24" s="4" t="n">
        <v>32</v>
      </c>
      <c r="E24" s="4" t="n">
        <v>29</v>
      </c>
      <c r="F24" s="5" t="n">
        <v>26.5</v>
      </c>
      <c r="G24" s="5" t="n">
        <v>24.5</v>
      </c>
      <c r="H24" s="5" t="n">
        <v>22.5</v>
      </c>
    </row>
    <row r="25">
      <c r="A25" s="2" t="inlineStr">
        <is>
          <t>Cancer Cell Split Time (avg sec)</t>
        </is>
      </c>
      <c r="B25" s="3" t="inlineStr">
        <is>
          <t>Split Time (avg of min/max, sec)</t>
        </is>
      </c>
      <c r="C25" s="4" t="n">
        <v>999</v>
      </c>
      <c r="D25" s="4" t="n">
        <v>36</v>
      </c>
      <c r="E25" s="5" t="n">
        <v>31.5</v>
      </c>
      <c r="F25" s="4" t="n">
        <v>30</v>
      </c>
      <c r="G25" s="4" t="n">
        <v>28</v>
      </c>
      <c r="H25" s="4" t="n">
        <v>26</v>
      </c>
    </row>
    <row r="26">
      <c r="A26" s="2" t="inlineStr">
        <is>
          <t>Smart Cancer Cell Split Time (avg sec)</t>
        </is>
      </c>
      <c r="B26" s="3" t="inlineStr">
        <is>
          <t>Split Time (avg of min/max, sec)</t>
        </is>
      </c>
      <c r="C26" s="4" t="n">
        <v>999</v>
      </c>
      <c r="D26" s="4" t="n">
        <v>39</v>
      </c>
      <c r="E26" s="4" t="n">
        <v>33</v>
      </c>
      <c r="F26" s="5" t="n">
        <v>32.5</v>
      </c>
      <c r="G26" s="5" t="n">
        <v>30.5</v>
      </c>
      <c r="H26" s="5" t="n">
        <v>28.5</v>
      </c>
    </row>
    <row r="27">
      <c r="A27" s="2" t="inlineStr">
        <is>
          <t>R-Cell Lifetime (sec)</t>
        </is>
      </c>
      <c r="B27" s="3" t="inlineStr">
        <is>
          <t>Healthy Cell Lifetime (sec)</t>
        </is>
      </c>
      <c r="C27" s="4" t="n">
        <v>999</v>
      </c>
      <c r="D27" s="4" t="n">
        <v>95</v>
      </c>
      <c r="E27" s="4" t="n">
        <v>85</v>
      </c>
      <c r="F27" s="4" t="n">
        <v>82</v>
      </c>
      <c r="G27" s="4" t="n">
        <v>78</v>
      </c>
      <c r="H27" s="4" t="n">
        <v>76</v>
      </c>
    </row>
    <row r="28">
      <c r="A28" s="2" t="inlineStr">
        <is>
          <t>T-Cell Lifetime (sec)</t>
        </is>
      </c>
      <c r="B28" s="3" t="inlineStr">
        <is>
          <t>Healthy Cell Lifetime (sec)</t>
        </is>
      </c>
      <c r="C28" s="4" t="n">
        <v>999</v>
      </c>
      <c r="D28" s="4" t="n">
        <v>100</v>
      </c>
      <c r="E28" s="4" t="n">
        <v>95</v>
      </c>
      <c r="F28" s="4" t="n">
        <v>92</v>
      </c>
      <c r="G28" s="4" t="n">
        <v>88</v>
      </c>
      <c r="H28" s="4" t="n">
        <v>86</v>
      </c>
    </row>
    <row r="29">
      <c r="A29" s="2" t="inlineStr">
        <is>
          <t>K-Cell Lifetime (sec)</t>
        </is>
      </c>
      <c r="B29" s="3" t="inlineStr">
        <is>
          <t>Healthy Cell Lifetime (sec)</t>
        </is>
      </c>
      <c r="C29" s="4" t="n">
        <v>999</v>
      </c>
      <c r="D29" s="4" t="n">
        <v>100</v>
      </c>
      <c r="E29" s="4" t="n">
        <v>95</v>
      </c>
      <c r="F29" s="4" t="n">
        <v>92</v>
      </c>
      <c r="G29" s="4" t="n">
        <v>88</v>
      </c>
      <c r="H29" s="4" t="n">
        <v>86</v>
      </c>
    </row>
    <row r="30">
      <c r="A30" s="2" t="inlineStr">
        <is>
          <t>Cancer Cell Impact (per damage tick)</t>
        </is>
      </c>
      <c r="B30" s="3" t="inlineStr">
        <is>
          <t>Cancer Impact on Player Health</t>
        </is>
      </c>
      <c r="C30" s="4" t="n">
        <v>0</v>
      </c>
      <c r="D30" s="4" t="n">
        <v>1</v>
      </c>
      <c r="E30" s="5" t="n">
        <v>1.1</v>
      </c>
      <c r="F30" s="5" t="n">
        <v>1.1</v>
      </c>
      <c r="G30" s="5" t="n">
        <v>1.15</v>
      </c>
      <c r="H30" s="5" t="n">
        <v>1.2</v>
      </c>
    </row>
    <row r="31">
      <c r="A31" s="2" t="inlineStr">
        <is>
          <t>Smart Cancer Cell Impact (per damage tick)</t>
        </is>
      </c>
      <c r="B31" s="3" t="inlineStr">
        <is>
          <t>Cancer Impact on Player Health</t>
        </is>
      </c>
      <c r="C31" s="4" t="n">
        <v>0</v>
      </c>
      <c r="D31" s="4" t="n">
        <v>1</v>
      </c>
      <c r="E31" s="5" t="n">
        <v>1.25</v>
      </c>
      <c r="F31" s="5" t="n">
        <v>1.35</v>
      </c>
      <c r="G31" s="5" t="n">
        <v>1.35</v>
      </c>
      <c r="H31" s="5" t="n">
        <v>1.4</v>
      </c>
    </row>
    <row r="32">
      <c r="A32" s="2" t="inlineStr">
        <is>
          <t>Cancer Attack DPS -- Cancer Cell (total, split)</t>
        </is>
      </c>
      <c r="B32" s="3" t="inlineStr">
        <is>
          <t>Counter-Attack (Advanced Levels)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5" t="n">
        <v>3.2</v>
      </c>
      <c r="H32" s="4" t="n">
        <v>4</v>
      </c>
    </row>
    <row r="33">
      <c r="A33" s="2" t="inlineStr">
        <is>
          <t>Cancer Attack DPS -- Smart Cancer Cell (total, split)</t>
        </is>
      </c>
      <c r="B33" s="3" t="inlineStr">
        <is>
          <t>Counter-Attack (Advanced Levels)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5" t="n">
        <v>3.8</v>
      </c>
      <c r="H33" s="5" t="n">
        <v>4.6</v>
      </c>
    </row>
    <row r="34">
      <c r="A34" s="2" t="inlineStr">
        <is>
          <t>Healthy Cell HP -- R-Cell (counter-attack)</t>
        </is>
      </c>
      <c r="B34" s="3" t="inlineStr">
        <is>
          <t>Counter-Attack (Advanced Levels)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24</v>
      </c>
      <c r="H34" s="4" t="n">
        <v>16</v>
      </c>
    </row>
    <row r="35">
      <c r="A35" s="2" t="inlineStr">
        <is>
          <t>Healthy Cell HP -- T-Cell (counter-attack)</t>
        </is>
      </c>
      <c r="B35" s="3" t="inlineStr">
        <is>
          <t>Counter-Attack (Advanced Levels)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28</v>
      </c>
      <c r="H35" s="4" t="n">
        <v>20</v>
      </c>
    </row>
    <row r="36">
      <c r="A36" s="2" t="inlineStr">
        <is>
          <t>Healthy Cell HP -- K-Cell (counter-attack)</t>
        </is>
      </c>
      <c r="B36" s="3" t="inlineStr">
        <is>
          <t>Counter-Attack (Advanced Levels)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28</v>
      </c>
      <c r="H36" s="4" t="n">
        <v>20</v>
      </c>
    </row>
    <row r="38" ht="30" customHeight="1">
      <c r="A38" s="9" t="inlineStr">
        <is>
          <t>Note: rows shaded gray are structural/won’t vary with difficulty (e.g. a win-condition rule that is identical across levels) and are excluded from the Difficulty Weighting and Difficulty Score sheets. Tutorial values are intentionally extreme/trivial (e.g. 999s cooldowns) and are excluded from the min/max normalization used to compute the Difficulty Score.</t>
        </is>
      </c>
    </row>
  </sheetData>
  <mergeCells count="1">
    <mergeCell ref="A38:H38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42" customWidth="1" min="1" max="1"/>
    <col width="24" customWidth="1" min="2" max="2"/>
    <col width="16" customWidth="1" min="3" max="3"/>
    <col width="10" customWidth="1" min="4" max="4"/>
    <col width="70" customWidth="1" min="5" max="5"/>
  </cols>
  <sheetData>
    <row r="1" ht="30" customHeight="1">
      <c r="A1" s="1" t="inlineStr">
        <is>
          <t>Parameter</t>
        </is>
      </c>
      <c r="B1" s="1" t="inlineStr">
        <is>
          <t>Category</t>
        </is>
      </c>
      <c r="C1" s="1" t="inlineStr">
        <is>
          <t>Effect As Value Increases</t>
        </is>
      </c>
      <c r="D1" s="1" t="inlineStr">
        <is>
          <t>Weight (1-5)</t>
        </is>
      </c>
      <c r="E1" s="1" t="inlineStr">
        <is>
          <t>Rationale</t>
        </is>
      </c>
    </row>
    <row r="2">
      <c r="A2" s="2" t="inlineStr">
        <is>
          <t>Total Play Time (sec)</t>
        </is>
      </c>
      <c r="B2" s="3" t="inlineStr">
        <is>
          <t>Core Settings</t>
        </is>
      </c>
      <c r="C2" s="10" t="inlineStr">
        <is>
          <t>Increases</t>
        </is>
      </c>
      <c r="D2" s="11" t="n">
        <v>2</v>
      </c>
      <c r="E2" s="12" t="inlineStr">
        <is>
          <t>Longer runs give cancer more time to split and chip away at player health; net effect is more cumulative pressure despite also giving the player more time to react.</t>
        </is>
      </c>
    </row>
    <row r="3">
      <c r="A3" s="2" t="inlineStr">
        <is>
          <t>Player Max Health</t>
        </is>
      </c>
      <c r="B3" s="3" t="inlineStr">
        <is>
          <t>Core Settings</t>
        </is>
      </c>
      <c r="C3" s="13" t="inlineStr">
        <is>
          <t>Decreases</t>
        </is>
      </c>
      <c r="D3" s="11" t="n">
        <v>5</v>
      </c>
      <c r="E3" s="12" t="inlineStr">
        <is>
          <t>Bigger health pool is a bigger buffer against cancer damage ticks and counter-attacks.</t>
        </is>
      </c>
    </row>
    <row r="4">
      <c r="A4" s="2" t="inlineStr">
        <is>
          <t>Danger Threshold (%)</t>
        </is>
      </c>
      <c r="B4" s="3" t="inlineStr">
        <is>
          <t>Core Settings</t>
        </is>
      </c>
      <c r="C4" s="10" t="inlineStr">
        <is>
          <t>Increases</t>
        </is>
      </c>
      <c r="D4" s="11" t="n">
        <v>4</v>
      </c>
      <c r="E4" s="12" t="inlineStr">
        <is>
          <t>A higher danger threshold shrinks the safety margin before an INSTANT loss -- the game ends the moment health drops to or below this threshold, any time, not just at time-out.</t>
        </is>
      </c>
    </row>
    <row r="5">
      <c r="A5" s="2" t="inlineStr">
        <is>
          <t>Max Cells (population cap)</t>
        </is>
      </c>
      <c r="B5" s="3" t="inlineStr">
        <is>
          <t>Core Settings</t>
        </is>
      </c>
      <c r="C5" s="10" t="inlineStr">
        <is>
          <t>Increases</t>
        </is>
      </c>
      <c r="D5" s="11" t="n">
        <v>3</v>
      </c>
      <c r="E5" s="12" t="inlineStr">
        <is>
          <t>Raises the ceiling both sides can split up to, but in a 120s match this cap is rarely the binding constraint -- population growth is limited by split-time pacing long before it is limited by this cap.</t>
        </is>
      </c>
    </row>
    <row r="6">
      <c r="A6" s="2" t="inlineStr">
        <is>
          <t>Cancer Damage Interval (sec)</t>
        </is>
      </c>
      <c r="B6" s="3" t="inlineStr">
        <is>
          <t>Core Settings</t>
        </is>
      </c>
      <c r="C6" s="13" t="inlineStr">
        <is>
          <t>Decreases</t>
        </is>
      </c>
      <c r="D6" s="11" t="n">
        <v>5</v>
      </c>
      <c r="E6" s="12" t="inlineStr">
        <is>
          <t>Controls how often the passive health-drain tick fires, which is what actually triggers the instant danger-threshold loss -- a SMALLER value means MORE FREQUENT ticks, so difficulty moves opposite to the number.</t>
        </is>
      </c>
    </row>
    <row r="7">
      <c r="A7" s="2" t="inlineStr">
        <is>
          <t>Max Attackers Per Cancer Cell</t>
        </is>
      </c>
      <c r="B7" s="3" t="inlineStr">
        <is>
          <t>Core Settings</t>
        </is>
      </c>
      <c r="C7" s="13" t="inlineStr">
        <is>
          <t>Decreases</t>
        </is>
      </c>
      <c r="D7" s="11" t="n">
        <v>4</v>
      </c>
      <c r="E7" s="12" t="inlineStr">
        <is>
          <t>Caps how many T/K-cells can pile onto one cancer cell at once. A SMALLER cap forces more spread-out, sequential attacks, so difficulty moves opposite to the number.</t>
        </is>
      </c>
    </row>
    <row r="8">
      <c r="A8" s="2" t="inlineStr">
        <is>
          <t>Allow Cancer Cell Dragging</t>
        </is>
      </c>
      <c r="B8" s="3" t="inlineStr">
        <is>
          <t>Core Settings</t>
        </is>
      </c>
      <c r="C8" s="13" t="inlineStr">
        <is>
          <t>Decreases</t>
        </is>
      </c>
      <c r="D8" s="11" t="n">
        <v>4</v>
      </c>
      <c r="E8" s="12" t="inlineStr">
        <is>
          <t>When the player can drag cancer cells into a cluster of healthy cells, attachment is trivial. Disabled (Level 5) forces bringing attackers to a stationary target instead.</t>
        </is>
      </c>
    </row>
    <row r="9">
      <c r="A9" s="2" t="inlineStr">
        <is>
          <t>Cancer Cells Can Attack Healthy</t>
        </is>
      </c>
      <c r="B9" s="3" t="inlineStr">
        <is>
          <t>Core Settings</t>
        </is>
      </c>
      <c r="C9" s="10" t="inlineStr">
        <is>
          <t>Increases</t>
        </is>
      </c>
      <c r="D9" s="11" t="n">
        <v>5</v>
      </c>
      <c r="E9" s="12" t="inlineStr">
        <is>
          <t>A binary toggle that opens an entirely new attrition mechanic: attached healthy cells now take continuous damage back and can die mid-fight, fundamentally changing the risk of every attachment (Levels 4-5 only).</t>
        </is>
      </c>
    </row>
    <row r="10">
      <c r="A10" s="2" t="inlineStr">
        <is>
          <t>R-Cell Share (%)</t>
        </is>
      </c>
      <c r="B10" s="3" t="inlineStr">
        <is>
          <t>Cell Distribution (%)</t>
        </is>
      </c>
      <c r="C10" s="10" t="inlineStr">
        <is>
          <t>Increases</t>
        </is>
      </c>
      <c r="D10" s="11" t="n">
        <v>2</v>
      </c>
      <c r="E10" s="12" t="inlineStr">
        <is>
          <t>R-cells are inert filler with no attack. A bigger R-cell share crowds out the T/K attacker population at a fixed total cell count.</t>
        </is>
      </c>
    </row>
    <row r="11">
      <c r="A11" s="2" t="inlineStr">
        <is>
          <t>T-Cell Share (%)</t>
        </is>
      </c>
      <c r="B11" s="3" t="inlineStr">
        <is>
          <t>Cell Distribution (%)</t>
        </is>
      </c>
      <c r="C11" s="13" t="inlineStr">
        <is>
          <t>Decreases</t>
        </is>
      </c>
      <c r="D11" s="11" t="n">
        <v>4</v>
      </c>
      <c r="E11" s="12" t="inlineStr">
        <is>
          <t>Directly sets how large the T-cell army is -- a linear multiplier on total offensive output against the Cancer Cell.</t>
        </is>
      </c>
    </row>
    <row r="12">
      <c r="A12" s="2" t="inlineStr">
        <is>
          <t>K-Cell Share (%)</t>
        </is>
      </c>
      <c r="B12" s="3" t="inlineStr">
        <is>
          <t>Cell Distribution (%)</t>
        </is>
      </c>
      <c r="C12" s="13" t="inlineStr">
        <is>
          <t>Decreases</t>
        </is>
      </c>
      <c r="D12" s="11" t="n">
        <v>4</v>
      </c>
      <c r="E12" s="12" t="inlineStr">
        <is>
          <t>Directly sets how large the K-cell army is -- a linear multiplier on total offensive output against the Smart Cancer Cell.</t>
        </is>
      </c>
    </row>
    <row r="13">
      <c r="A13" s="2" t="inlineStr">
        <is>
          <t>Cancer Cell Share (%)</t>
        </is>
      </c>
      <c r="B13" s="3" t="inlineStr">
        <is>
          <t>Cell Distribution (%)</t>
        </is>
      </c>
      <c r="C13" s="10" t="inlineStr">
        <is>
          <t>Increases</t>
        </is>
      </c>
      <c r="D13" s="11" t="n">
        <v>5</v>
      </c>
      <c r="E13" s="12" t="inlineStr">
        <is>
          <t>Directly sets the size of the visible-cancer population -- a linear multiplier on total enemy HP that must be cleared.</t>
        </is>
      </c>
    </row>
    <row r="14">
      <c r="A14" s="2" t="inlineStr">
        <is>
          <t>Smart Cancer Cell Share (%)</t>
        </is>
      </c>
      <c r="B14" s="3" t="inlineStr">
        <is>
          <t>Cell Distribution (%)</t>
        </is>
      </c>
      <c r="C14" s="10" t="inlineStr">
        <is>
          <t>Increases</t>
        </is>
      </c>
      <c r="D14" s="11" t="n">
        <v>5</v>
      </c>
      <c r="E14" s="12" t="inlineStr">
        <is>
          <t>Directly sets the size of the hidden-cancer population -- a linear multiplier on total enemy HP, compounded by detection delay.</t>
        </is>
      </c>
    </row>
    <row r="15">
      <c r="A15" s="2" t="inlineStr">
        <is>
          <t>T-Cell Click Damage</t>
        </is>
      </c>
      <c r="B15" s="3" t="inlineStr">
        <is>
          <t>Player Damage Output</t>
        </is>
      </c>
      <c r="C15" s="13" t="inlineStr">
        <is>
          <t>Decreases</t>
        </is>
      </c>
      <c r="D15" s="11" t="n">
        <v>3</v>
      </c>
      <c r="E15" s="12" t="inlineStr">
        <is>
          <t>Higher manual-click damage clears the Cancer Cell faster.</t>
        </is>
      </c>
    </row>
    <row r="16">
      <c r="A16" s="2" t="inlineStr">
        <is>
          <t>K-Cell Click Damage</t>
        </is>
      </c>
      <c r="B16" s="3" t="inlineStr">
        <is>
          <t>Player Damage Output</t>
        </is>
      </c>
      <c r="C16" s="13" t="inlineStr">
        <is>
          <t>Decreases</t>
        </is>
      </c>
      <c r="D16" s="11" t="n">
        <v>3</v>
      </c>
      <c r="E16" s="12" t="inlineStr">
        <is>
          <t>Higher manual-click damage clears the Smart Cancer Cell faster.</t>
        </is>
      </c>
    </row>
    <row r="17">
      <c r="A17" s="2" t="inlineStr">
        <is>
          <t>T-Cell Auto DPS</t>
        </is>
      </c>
      <c r="B17" s="3" t="inlineStr">
        <is>
          <t>Player Damage Output</t>
        </is>
      </c>
      <c r="C17" s="13" t="inlineStr">
        <is>
          <t>Decreases</t>
        </is>
      </c>
      <c r="D17" s="11" t="n">
        <v>5</v>
      </c>
      <c r="E17" s="12" t="inlineStr">
        <is>
          <t>The player's primary continuous damage source once attached -- the single biggest lever on how fast the Cancer Cell side of the fight goes.</t>
        </is>
      </c>
    </row>
    <row r="18">
      <c r="A18" s="2" t="inlineStr">
        <is>
          <t>K-Cell Auto DPS</t>
        </is>
      </c>
      <c r="B18" s="3" t="inlineStr">
        <is>
          <t>Player Damage Output</t>
        </is>
      </c>
      <c r="C18" s="13" t="inlineStr">
        <is>
          <t>Decreases</t>
        </is>
      </c>
      <c r="D18" s="11" t="n">
        <v>5</v>
      </c>
      <c r="E18" s="12" t="inlineStr">
        <is>
          <t>The player's primary continuous damage source once attached -- the single biggest lever on how fast the Smart Cancer Cell side of the fight goes.</t>
        </is>
      </c>
    </row>
    <row r="19">
      <c r="A19" s="2" t="inlineStr">
        <is>
          <t>Cancer Cell Health</t>
        </is>
      </c>
      <c r="B19" s="3" t="inlineStr">
        <is>
          <t>Cancer Cell Health</t>
        </is>
      </c>
      <c r="C19" s="10" t="inlineStr">
        <is>
          <t>Increases</t>
        </is>
      </c>
      <c r="D19" s="11" t="n">
        <v>5</v>
      </c>
      <c r="E19" s="12" t="inlineStr">
        <is>
          <t>The core enemy-toughness stat -- directly multiplies total damage that must be dealt per cell killed.</t>
        </is>
      </c>
    </row>
    <row r="20">
      <c r="A20" s="2" t="inlineStr">
        <is>
          <t>Smart Cancer Cell Health</t>
        </is>
      </c>
      <c r="B20" s="3" t="inlineStr">
        <is>
          <t>Cancer Cell Health</t>
        </is>
      </c>
      <c r="C20" s="10" t="inlineStr">
        <is>
          <t>Increases</t>
        </is>
      </c>
      <c r="D20" s="11" t="n">
        <v>5</v>
      </c>
      <c r="E20" s="12" t="inlineStr">
        <is>
          <t>The core enemy-toughness stat for hidden cancer -- directly multiplies total damage required, on top of the detection delay already paid.</t>
        </is>
      </c>
    </row>
    <row r="21">
      <c r="A21" s="2" t="inlineStr">
        <is>
          <t>R-Cell Split Time (avg sec)</t>
        </is>
      </c>
      <c r="B21" s="3" t="inlineStr">
        <is>
          <t>Split Time (avg of min/max, sec)</t>
        </is>
      </c>
      <c r="C21" s="10" t="inlineStr">
        <is>
          <t>Increases</t>
        </is>
      </c>
      <c r="D21" s="11" t="n">
        <v>1</v>
      </c>
      <c r="E21" s="12" t="inlineStr">
        <is>
          <t>Longer average split time means slower R-cell reinforcement -- but R-cells do not attack, so the effect is minor.</t>
        </is>
      </c>
    </row>
    <row r="22">
      <c r="A22" s="2" t="inlineStr">
        <is>
          <t>T-Cell Split Time (avg sec)</t>
        </is>
      </c>
      <c r="B22" s="3" t="inlineStr">
        <is>
          <t>Split Time (avg of min/max, sec)</t>
        </is>
      </c>
      <c r="C22" s="10" t="inlineStr">
        <is>
          <t>Increases</t>
        </is>
      </c>
      <c r="D22" s="11" t="n">
        <v>3</v>
      </c>
      <c r="E22" s="12" t="inlineStr">
        <is>
          <t>Longer average split time means slower arrival of new attackers.</t>
        </is>
      </c>
    </row>
    <row r="23">
      <c r="A23" s="2" t="inlineStr">
        <is>
          <t>K-Cell Split Time (avg sec)</t>
        </is>
      </c>
      <c r="B23" s="3" t="inlineStr">
        <is>
          <t>Split Time (avg of min/max, sec)</t>
        </is>
      </c>
      <c r="C23" s="10" t="inlineStr">
        <is>
          <t>Increases</t>
        </is>
      </c>
      <c r="D23" s="11" t="n">
        <v>3</v>
      </c>
      <c r="E23" s="12" t="inlineStr">
        <is>
          <t>Longer average split time means slower arrival of new attackers/detectors.</t>
        </is>
      </c>
    </row>
    <row r="24">
      <c r="A24" s="2" t="inlineStr">
        <is>
          <t>Cancer Cell Split Time (avg sec)</t>
        </is>
      </c>
      <c r="B24" s="3" t="inlineStr">
        <is>
          <t>Split Time (avg of min/max, sec)</t>
        </is>
      </c>
      <c r="C24" s="13" t="inlineStr">
        <is>
          <t>Decreases</t>
        </is>
      </c>
      <c r="D24" s="11" t="n">
        <v>5</v>
      </c>
      <c r="E24" s="12" t="inlineStr">
        <is>
          <t>Controls how fast the cancer population REGROWS -- unlike a flat stat, this compounds over the match, making it the closest thing to an exponential difficulty lever in the whole system. Difficulty moves opposite to the number (faster splitting = smaller value = harder).</t>
        </is>
      </c>
    </row>
    <row r="25">
      <c r="A25" s="2" t="inlineStr">
        <is>
          <t>Smart Cancer Cell Split Time (avg sec)</t>
        </is>
      </c>
      <c r="B25" s="3" t="inlineStr">
        <is>
          <t>Split Time (avg of min/max, sec)</t>
        </is>
      </c>
      <c r="C25" s="13" t="inlineStr">
        <is>
          <t>Decreases</t>
        </is>
      </c>
      <c r="D25" s="11" t="n">
        <v>5</v>
      </c>
      <c r="E25" s="12" t="inlineStr">
        <is>
          <t>Controls how fast the hidden-cancer population REGROWS -- the same compounding arms-race dynamic as visible cancer split time, difficulty moving opposite to the number.</t>
        </is>
      </c>
    </row>
    <row r="26">
      <c r="A26" s="2" t="inlineStr">
        <is>
          <t>R-Cell Lifetime (sec)</t>
        </is>
      </c>
      <c r="B26" s="3" t="inlineStr">
        <is>
          <t>Healthy Cell Lifetime (sec)</t>
        </is>
      </c>
      <c r="C26" s="13" t="inlineStr">
        <is>
          <t>Decreases</t>
        </is>
      </c>
      <c r="D26" s="11" t="n">
        <v>1</v>
      </c>
      <c r="E26" s="12" t="inlineStr">
        <is>
          <t>Longer natural lifespan keeps the (inert) population count higher for longer; minor effect since R-cells do not attack.</t>
        </is>
      </c>
    </row>
    <row r="27">
      <c r="A27" s="2" t="inlineStr">
        <is>
          <t>T-Cell Lifetime (sec)</t>
        </is>
      </c>
      <c r="B27" s="3" t="inlineStr">
        <is>
          <t>Healthy Cell Lifetime (sec)</t>
        </is>
      </c>
      <c r="C27" s="13" t="inlineStr">
        <is>
          <t>Decreases</t>
        </is>
      </c>
      <c r="D27" s="11" t="n">
        <v>2</v>
      </c>
      <c r="E27" s="12" t="inlineStr">
        <is>
          <t>Natural lifespan of a T-cell before it ages out. At 76-100s against a 120s clock, most cells die in combat (or to counter-attack) long before they would naturally expire, so this is rarely the binding factor.</t>
        </is>
      </c>
    </row>
    <row r="28">
      <c r="A28" s="2" t="inlineStr">
        <is>
          <t>K-Cell Lifetime (sec)</t>
        </is>
      </c>
      <c r="B28" s="3" t="inlineStr">
        <is>
          <t>Healthy Cell Lifetime (sec)</t>
        </is>
      </c>
      <c r="C28" s="13" t="inlineStr">
        <is>
          <t>Decreases</t>
        </is>
      </c>
      <c r="D28" s="11" t="n">
        <v>2</v>
      </c>
      <c r="E28" s="12" t="inlineStr">
        <is>
          <t>Natural lifespan of a K-cell before it ages out. At 76-100s against a 120s clock, most cells die in combat (or to counter-attack) long before they would naturally expire, so this is rarely the binding factor.</t>
        </is>
      </c>
    </row>
    <row r="29">
      <c r="A29" s="2" t="inlineStr">
        <is>
          <t>Cancer Cell Impact (per damage tick)</t>
        </is>
      </c>
      <c r="B29" s="3" t="inlineStr">
        <is>
          <t>Cancer Impact on Player Health</t>
        </is>
      </c>
      <c r="C29" s="10" t="inlineStr">
        <is>
          <t>Increases</t>
        </is>
      </c>
      <c r="D29" s="11" t="n">
        <v>4</v>
      </c>
      <c r="E29" s="12" t="inlineStr">
        <is>
          <t>Sets the MAGNITUDE of the passive health-drain per tick -- paired with Cancer Damage Interval's frequency, this is what actually pushes the player toward the instant danger-threshold loss.</t>
        </is>
      </c>
    </row>
    <row r="30">
      <c r="A30" s="2" t="inlineStr">
        <is>
          <t>Smart Cancer Cell Impact (per damage tick)</t>
        </is>
      </c>
      <c r="B30" s="3" t="inlineStr">
        <is>
          <t>Cancer Impact on Player Health</t>
        </is>
      </c>
      <c r="C30" s="10" t="inlineStr">
        <is>
          <t>Increases</t>
        </is>
      </c>
      <c r="D30" s="11" t="n">
        <v>5</v>
      </c>
      <c r="E30" s="12" t="inlineStr">
        <is>
          <t>Sets the MAGNITUDE of the passive health-drain per tick for hidden cancer -- often accruing silently before detection, compounding the danger-threshold pressure.</t>
        </is>
      </c>
    </row>
    <row r="31">
      <c r="A31" s="2" t="inlineStr">
        <is>
          <t>Cancer Attack DPS -- Cancer Cell (total, split)</t>
        </is>
      </c>
      <c r="B31" s="3" t="inlineStr">
        <is>
          <t>Counter-Attack (Advanced Levels)</t>
        </is>
      </c>
      <c r="C31" s="10" t="inlineStr">
        <is>
          <t>Increases</t>
        </is>
      </c>
      <c r="D31" s="11" t="n">
        <v>4</v>
      </c>
      <c r="E31" s="12" t="inlineStr">
        <is>
          <t>Total damage per second a Cancer Cell deals back, divided evenly across every healthy cell attached to it. Zero where the mechanic is off.</t>
        </is>
      </c>
    </row>
    <row r="32">
      <c r="A32" s="2" t="inlineStr">
        <is>
          <t>Cancer Attack DPS -- Smart Cancer Cell (total, split)</t>
        </is>
      </c>
      <c r="B32" s="3" t="inlineStr">
        <is>
          <t>Counter-Attack (Advanced Levels)</t>
        </is>
      </c>
      <c r="C32" s="10" t="inlineStr">
        <is>
          <t>Increases</t>
        </is>
      </c>
      <c r="D32" s="11" t="n">
        <v>5</v>
      </c>
      <c r="E32" s="12" t="inlineStr">
        <is>
          <t>Total damage per second a Smart Cancer Cell deals back, divided evenly across every healthy cell attached to it. Zero where the mechanic is off.</t>
        </is>
      </c>
    </row>
    <row r="33">
      <c r="A33" s="2" t="inlineStr">
        <is>
          <t>Healthy Cell HP -- R-Cell (counter-attack)</t>
        </is>
      </c>
      <c r="B33" s="3" t="inlineStr">
        <is>
          <t>Counter-Attack (Advanced Levels)</t>
        </is>
      </c>
      <c r="C33" s="13" t="inlineStr">
        <is>
          <t>Decreases</t>
        </is>
      </c>
      <c r="D33" s="11" t="n">
        <v>1</v>
      </c>
      <c r="E33" s="12" t="inlineStr">
        <is>
          <t>How much punishment an R-cell can absorb from counter-attack before dying. Zero (invulnerable) where the mechanic is off.</t>
        </is>
      </c>
    </row>
    <row r="34">
      <c r="A34" s="2" t="inlineStr">
        <is>
          <t>Healthy Cell HP -- T-Cell (counter-attack)</t>
        </is>
      </c>
      <c r="B34" s="3" t="inlineStr">
        <is>
          <t>Counter-Attack (Advanced Levels)</t>
        </is>
      </c>
      <c r="C34" s="13" t="inlineStr">
        <is>
          <t>Decreases</t>
        </is>
      </c>
      <c r="D34" s="11" t="n">
        <v>3</v>
      </c>
      <c r="E34" s="12" t="inlineStr">
        <is>
          <t>How much punishment a T-cell can absorb from counter-attack before dying. Zero (invulnerable) where the mechanic is off.</t>
        </is>
      </c>
    </row>
    <row r="35">
      <c r="A35" s="2" t="inlineStr">
        <is>
          <t>Healthy Cell HP -- K-Cell (counter-attack)</t>
        </is>
      </c>
      <c r="B35" s="3" t="inlineStr">
        <is>
          <t>Counter-Attack (Advanced Levels)</t>
        </is>
      </c>
      <c r="C35" s="13" t="inlineStr">
        <is>
          <t>Decreases</t>
        </is>
      </c>
      <c r="D35" s="11" t="n">
        <v>3</v>
      </c>
      <c r="E35" s="12" t="inlineStr">
        <is>
          <t>How much punishment a K-cell can absorb from counter-attack before dying. Zero (invulnerable) where the mechanic is off.</t>
        </is>
      </c>
    </row>
    <row r="36"/>
    <row r="37" ht="44" customHeight="1">
      <c r="A37" s="9" t="inlineStr">
        <is>
          <t>Weight is a 1-5 design judgment (5 = swings outcomes the most), not derived from gameplay telemetry. "Effect As Value Increases" states which way difficulty moves as the raw number goes up -- for a couple of parameters (Cancer Damage Interval, Max Attackers Per Cancer Cell, split times on cancer cells) that direction is intentionally inverted; see each row’s rationale.</t>
        </is>
      </c>
    </row>
    <row r="38"/>
    <row r="39"/>
    <row r="40"/>
  </sheetData>
  <mergeCells count="1">
    <mergeCell ref="A37:E37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 outlineLevelRow="0"/>
  <cols>
    <col width="42" customWidth="1" min="1" max="1"/>
    <col width="8" customWidth="1" min="2" max="4"/>
    <col width="11" customWidth="1" min="5" max="11"/>
  </cols>
  <sheetData>
    <row r="1" ht="26" customHeight="1">
      <c r="A1" s="1" t="inlineStr">
        <is>
          <t>Parameter</t>
        </is>
      </c>
      <c r="B1" s="1" t="inlineStr">
        <is>
          <t>LB Row</t>
        </is>
      </c>
      <c r="C1" s="1" t="inlineStr">
        <is>
          <t>Weight</t>
        </is>
      </c>
      <c r="D1" s="1" t="inlineStr">
        <is>
          <t>Sign</t>
        </is>
      </c>
      <c r="E1" s="1" t="inlineStr">
        <is>
          <t>Min (L1-L5)</t>
        </is>
      </c>
      <c r="F1" s="1" t="inlineStr">
        <is>
          <t>Max (L1-L5)</t>
        </is>
      </c>
      <c r="G1" s="1" t="inlineStr">
        <is>
          <t>Level 1</t>
        </is>
      </c>
      <c r="H1" s="1" t="inlineStr">
        <is>
          <t>Level 2</t>
        </is>
      </c>
      <c r="I1" s="1" t="inlineStr">
        <is>
          <t>Level 3</t>
        </is>
      </c>
      <c r="J1" s="1" t="inlineStr">
        <is>
          <t>Level 4</t>
        </is>
      </c>
      <c r="K1" s="1" t="inlineStr">
        <is>
          <t>Level 5</t>
        </is>
      </c>
    </row>
    <row r="2">
      <c r="A2" s="2" t="inlineStr">
        <is>
          <t>Total Play Time (sec)</t>
        </is>
      </c>
      <c r="B2" s="4">
        <f>MATCH($A2,'Level Balance'!$A:$A,0)</f>
        <v/>
      </c>
      <c r="C2" s="4">
        <f>INDEX('Difficulty Weighting'!$D:$D,MATCH($A2,'Difficulty Weighting'!$A:$A,0))</f>
        <v/>
      </c>
      <c r="D2" s="4">
        <f>IF(INDEX('Difficulty Weighting'!$C:$C,MATCH($A2,'Difficulty Weighting'!$A:$A,0))="Increases",1,IF(INDEX('Difficulty Weighting'!$C:$C,MATCH($A2,'Difficulty Weighting'!$A:$A,0))="Decreases",-1,0))</f>
        <v/>
      </c>
      <c r="E2" s="4">
        <f>MIN(INDEX('Level Balance'!$D:$H,$B2,1):INDEX('Level Balance'!$D:$H,$B2,5))</f>
        <v/>
      </c>
      <c r="F2" s="4">
        <f>MAX(INDEX('Level Balance'!$D:$H,$B2,1):INDEX('Level Balance'!$D:$H,$B2,5))</f>
        <v/>
      </c>
      <c r="G2" s="4">
        <f>ROUND(IFERROR((INDEX('Level Balance'!$D:$H,$B2,1)-$E2)/($F2-$E2),0)*$C2*$D2,4)</f>
        <v/>
      </c>
      <c r="H2" s="4">
        <f>ROUND(IFERROR((INDEX('Level Balance'!$D:$H,$B2,2)-$E2)/($F2-$E2),0)*$C2*$D2,4)</f>
        <v/>
      </c>
      <c r="I2" s="4">
        <f>ROUND(IFERROR((INDEX('Level Balance'!$D:$H,$B2,3)-$E2)/($F2-$E2),0)*$C2*$D2,4)</f>
        <v/>
      </c>
      <c r="J2" s="4">
        <f>ROUND(IFERROR((INDEX('Level Balance'!$D:$H,$B2,4)-$E2)/($F2-$E2),0)*$C2*$D2,4)</f>
        <v/>
      </c>
      <c r="K2" s="4">
        <f>ROUND(IFERROR((INDEX('Level Balance'!$D:$H,$B2,5)-$E2)/($F2-$E2),0)*$C2*$D2,4)</f>
        <v/>
      </c>
    </row>
    <row r="3">
      <c r="A3" s="2" t="inlineStr">
        <is>
          <t>Player Max Health</t>
        </is>
      </c>
      <c r="B3" s="4">
        <f>MATCH($A3,'Level Balance'!$A:$A,0)</f>
        <v/>
      </c>
      <c r="C3" s="4">
        <f>INDEX('Difficulty Weighting'!$D:$D,MATCH($A3,'Difficulty Weighting'!$A:$A,0))</f>
        <v/>
      </c>
      <c r="D3" s="4">
        <f>IF(INDEX('Difficulty Weighting'!$C:$C,MATCH($A3,'Difficulty Weighting'!$A:$A,0))="Increases",1,IF(INDEX('Difficulty Weighting'!$C:$C,MATCH($A3,'Difficulty Weighting'!$A:$A,0))="Decreases",-1,0))</f>
        <v/>
      </c>
      <c r="E3" s="4">
        <f>MIN(INDEX('Level Balance'!$D:$H,$B3,1):INDEX('Level Balance'!$D:$H,$B3,5))</f>
        <v/>
      </c>
      <c r="F3" s="4">
        <f>MAX(INDEX('Level Balance'!$D:$H,$B3,1):INDEX('Level Balance'!$D:$H,$B3,5))</f>
        <v/>
      </c>
      <c r="G3" s="4">
        <f>ROUND(IFERROR((INDEX('Level Balance'!$D:$H,$B3,1)-$E3)/($F3-$E3),0)*$C3*$D3,4)</f>
        <v/>
      </c>
      <c r="H3" s="4">
        <f>ROUND(IFERROR((INDEX('Level Balance'!$D:$H,$B3,2)-$E3)/($F3-$E3),0)*$C3*$D3,4)</f>
        <v/>
      </c>
      <c r="I3" s="4">
        <f>ROUND(IFERROR((INDEX('Level Balance'!$D:$H,$B3,3)-$E3)/($F3-$E3),0)*$C3*$D3,4)</f>
        <v/>
      </c>
      <c r="J3" s="4">
        <f>ROUND(IFERROR((INDEX('Level Balance'!$D:$H,$B3,4)-$E3)/($F3-$E3),0)*$C3*$D3,4)</f>
        <v/>
      </c>
      <c r="K3" s="4">
        <f>ROUND(IFERROR((INDEX('Level Balance'!$D:$H,$B3,5)-$E3)/($F3-$E3),0)*$C3*$D3,4)</f>
        <v/>
      </c>
    </row>
    <row r="4">
      <c r="A4" s="2" t="inlineStr">
        <is>
          <t>Danger Threshold (%)</t>
        </is>
      </c>
      <c r="B4" s="4">
        <f>MATCH($A4,'Level Balance'!$A:$A,0)</f>
        <v/>
      </c>
      <c r="C4" s="4">
        <f>INDEX('Difficulty Weighting'!$D:$D,MATCH($A4,'Difficulty Weighting'!$A:$A,0))</f>
        <v/>
      </c>
      <c r="D4" s="4">
        <f>IF(INDEX('Difficulty Weighting'!$C:$C,MATCH($A4,'Difficulty Weighting'!$A:$A,0))="Increases",1,IF(INDEX('Difficulty Weighting'!$C:$C,MATCH($A4,'Difficulty Weighting'!$A:$A,0))="Decreases",-1,0))</f>
        <v/>
      </c>
      <c r="E4" s="4">
        <f>MIN(INDEX('Level Balance'!$D:$H,$B4,1):INDEX('Level Balance'!$D:$H,$B4,5))</f>
        <v/>
      </c>
      <c r="F4" s="4">
        <f>MAX(INDEX('Level Balance'!$D:$H,$B4,1):INDEX('Level Balance'!$D:$H,$B4,5))</f>
        <v/>
      </c>
      <c r="G4" s="4">
        <f>ROUND(IFERROR((INDEX('Level Balance'!$D:$H,$B4,1)-$E4)/($F4-$E4),0)*$C4*$D4,4)</f>
        <v/>
      </c>
      <c r="H4" s="4">
        <f>ROUND(IFERROR((INDEX('Level Balance'!$D:$H,$B4,2)-$E4)/($F4-$E4),0)*$C4*$D4,4)</f>
        <v/>
      </c>
      <c r="I4" s="4">
        <f>ROUND(IFERROR((INDEX('Level Balance'!$D:$H,$B4,3)-$E4)/($F4-$E4),0)*$C4*$D4,4)</f>
        <v/>
      </c>
      <c r="J4" s="4">
        <f>ROUND(IFERROR((INDEX('Level Balance'!$D:$H,$B4,4)-$E4)/($F4-$E4),0)*$C4*$D4,4)</f>
        <v/>
      </c>
      <c r="K4" s="4">
        <f>ROUND(IFERROR((INDEX('Level Balance'!$D:$H,$B4,5)-$E4)/($F4-$E4),0)*$C4*$D4,4)</f>
        <v/>
      </c>
    </row>
    <row r="5">
      <c r="A5" s="2" t="inlineStr">
        <is>
          <t>Max Cells (population cap)</t>
        </is>
      </c>
      <c r="B5" s="4">
        <f>MATCH($A5,'Level Balance'!$A:$A,0)</f>
        <v/>
      </c>
      <c r="C5" s="4">
        <f>INDEX('Difficulty Weighting'!$D:$D,MATCH($A5,'Difficulty Weighting'!$A:$A,0))</f>
        <v/>
      </c>
      <c r="D5" s="4">
        <f>IF(INDEX('Difficulty Weighting'!$C:$C,MATCH($A5,'Difficulty Weighting'!$A:$A,0))="Increases",1,IF(INDEX('Difficulty Weighting'!$C:$C,MATCH($A5,'Difficulty Weighting'!$A:$A,0))="Decreases",-1,0))</f>
        <v/>
      </c>
      <c r="E5" s="4">
        <f>MIN(INDEX('Level Balance'!$D:$H,$B5,1):INDEX('Level Balance'!$D:$H,$B5,5))</f>
        <v/>
      </c>
      <c r="F5" s="4">
        <f>MAX(INDEX('Level Balance'!$D:$H,$B5,1):INDEX('Level Balance'!$D:$H,$B5,5))</f>
        <v/>
      </c>
      <c r="G5" s="4">
        <f>ROUND(IFERROR((INDEX('Level Balance'!$D:$H,$B5,1)-$E5)/($F5-$E5),0)*$C5*$D5,4)</f>
        <v/>
      </c>
      <c r="H5" s="4">
        <f>ROUND(IFERROR((INDEX('Level Balance'!$D:$H,$B5,2)-$E5)/($F5-$E5),0)*$C5*$D5,4)</f>
        <v/>
      </c>
      <c r="I5" s="4">
        <f>ROUND(IFERROR((INDEX('Level Balance'!$D:$H,$B5,3)-$E5)/($F5-$E5),0)*$C5*$D5,4)</f>
        <v/>
      </c>
      <c r="J5" s="4">
        <f>ROUND(IFERROR((INDEX('Level Balance'!$D:$H,$B5,4)-$E5)/($F5-$E5),0)*$C5*$D5,4)</f>
        <v/>
      </c>
      <c r="K5" s="4">
        <f>ROUND(IFERROR((INDEX('Level Balance'!$D:$H,$B5,5)-$E5)/($F5-$E5),0)*$C5*$D5,4)</f>
        <v/>
      </c>
    </row>
    <row r="6">
      <c r="A6" s="2" t="inlineStr">
        <is>
          <t>Cancer Damage Interval (sec)</t>
        </is>
      </c>
      <c r="B6" s="4">
        <f>MATCH($A6,'Level Balance'!$A:$A,0)</f>
        <v/>
      </c>
      <c r="C6" s="4">
        <f>INDEX('Difficulty Weighting'!$D:$D,MATCH($A6,'Difficulty Weighting'!$A:$A,0))</f>
        <v/>
      </c>
      <c r="D6" s="4">
        <f>IF(INDEX('Difficulty Weighting'!$C:$C,MATCH($A6,'Difficulty Weighting'!$A:$A,0))="Increases",1,IF(INDEX('Difficulty Weighting'!$C:$C,MATCH($A6,'Difficulty Weighting'!$A:$A,0))="Decreases",-1,0))</f>
        <v/>
      </c>
      <c r="E6" s="4">
        <f>MIN(INDEX('Level Balance'!$D:$H,$B6,1):INDEX('Level Balance'!$D:$H,$B6,5))</f>
        <v/>
      </c>
      <c r="F6" s="4">
        <f>MAX(INDEX('Level Balance'!$D:$H,$B6,1):INDEX('Level Balance'!$D:$H,$B6,5))</f>
        <v/>
      </c>
      <c r="G6" s="4">
        <f>ROUND(IFERROR((INDEX('Level Balance'!$D:$H,$B6,1)-$E6)/($F6-$E6),0)*$C6*$D6,4)</f>
        <v/>
      </c>
      <c r="H6" s="4">
        <f>ROUND(IFERROR((INDEX('Level Balance'!$D:$H,$B6,2)-$E6)/($F6-$E6),0)*$C6*$D6,4)</f>
        <v/>
      </c>
      <c r="I6" s="4">
        <f>ROUND(IFERROR((INDEX('Level Balance'!$D:$H,$B6,3)-$E6)/($F6-$E6),0)*$C6*$D6,4)</f>
        <v/>
      </c>
      <c r="J6" s="4">
        <f>ROUND(IFERROR((INDEX('Level Balance'!$D:$H,$B6,4)-$E6)/($F6-$E6),0)*$C6*$D6,4)</f>
        <v/>
      </c>
      <c r="K6" s="4">
        <f>ROUND(IFERROR((INDEX('Level Balance'!$D:$H,$B6,5)-$E6)/($F6-$E6),0)*$C6*$D6,4)</f>
        <v/>
      </c>
    </row>
    <row r="7">
      <c r="A7" s="2" t="inlineStr">
        <is>
          <t>Max Attackers Per Cancer Cell</t>
        </is>
      </c>
      <c r="B7" s="4">
        <f>MATCH($A7,'Level Balance'!$A:$A,0)</f>
        <v/>
      </c>
      <c r="C7" s="4">
        <f>INDEX('Difficulty Weighting'!$D:$D,MATCH($A7,'Difficulty Weighting'!$A:$A,0))</f>
        <v/>
      </c>
      <c r="D7" s="4">
        <f>IF(INDEX('Difficulty Weighting'!$C:$C,MATCH($A7,'Difficulty Weighting'!$A:$A,0))="Increases",1,IF(INDEX('Difficulty Weighting'!$C:$C,MATCH($A7,'Difficulty Weighting'!$A:$A,0))="Decreases",-1,0))</f>
        <v/>
      </c>
      <c r="E7" s="4">
        <f>MIN(INDEX('Level Balance'!$D:$H,$B7,1):INDEX('Level Balance'!$D:$H,$B7,5))</f>
        <v/>
      </c>
      <c r="F7" s="4">
        <f>MAX(INDEX('Level Balance'!$D:$H,$B7,1):INDEX('Level Balance'!$D:$H,$B7,5))</f>
        <v/>
      </c>
      <c r="G7" s="4">
        <f>ROUND(IFERROR((INDEX('Level Balance'!$D:$H,$B7,1)-$E7)/($F7-$E7),0)*$C7*$D7,4)</f>
        <v/>
      </c>
      <c r="H7" s="4">
        <f>ROUND(IFERROR((INDEX('Level Balance'!$D:$H,$B7,2)-$E7)/($F7-$E7),0)*$C7*$D7,4)</f>
        <v/>
      </c>
      <c r="I7" s="4">
        <f>ROUND(IFERROR((INDEX('Level Balance'!$D:$H,$B7,3)-$E7)/($F7-$E7),0)*$C7*$D7,4)</f>
        <v/>
      </c>
      <c r="J7" s="4">
        <f>ROUND(IFERROR((INDEX('Level Balance'!$D:$H,$B7,4)-$E7)/($F7-$E7),0)*$C7*$D7,4)</f>
        <v/>
      </c>
      <c r="K7" s="4">
        <f>ROUND(IFERROR((INDEX('Level Balance'!$D:$H,$B7,5)-$E7)/($F7-$E7),0)*$C7*$D7,4)</f>
        <v/>
      </c>
    </row>
    <row r="8">
      <c r="A8" s="2" t="inlineStr">
        <is>
          <t>Allow Cancer Cell Dragging</t>
        </is>
      </c>
      <c r="B8" s="4">
        <f>MATCH($A8,'Level Balance'!$A:$A,0)</f>
        <v/>
      </c>
      <c r="C8" s="4">
        <f>INDEX('Difficulty Weighting'!$D:$D,MATCH($A8,'Difficulty Weighting'!$A:$A,0))</f>
        <v/>
      </c>
      <c r="D8" s="4">
        <f>IF(INDEX('Difficulty Weighting'!$C:$C,MATCH($A8,'Difficulty Weighting'!$A:$A,0))="Increases",1,IF(INDEX('Difficulty Weighting'!$C:$C,MATCH($A8,'Difficulty Weighting'!$A:$A,0))="Decreases",-1,0))</f>
        <v/>
      </c>
      <c r="E8" s="4">
        <f>MIN(INDEX('Level Balance'!$D:$H,$B8,1):INDEX('Level Balance'!$D:$H,$B8,5))</f>
        <v/>
      </c>
      <c r="F8" s="4">
        <f>MAX(INDEX('Level Balance'!$D:$H,$B8,1):INDEX('Level Balance'!$D:$H,$B8,5))</f>
        <v/>
      </c>
      <c r="G8" s="4">
        <f>ROUND(IFERROR((INDEX('Level Balance'!$D:$H,$B8,1)-$E8)/($F8-$E8),0)*$C8*$D8,4)</f>
        <v/>
      </c>
      <c r="H8" s="4">
        <f>ROUND(IFERROR((INDEX('Level Balance'!$D:$H,$B8,2)-$E8)/($F8-$E8),0)*$C8*$D8,4)</f>
        <v/>
      </c>
      <c r="I8" s="4">
        <f>ROUND(IFERROR((INDEX('Level Balance'!$D:$H,$B8,3)-$E8)/($F8-$E8),0)*$C8*$D8,4)</f>
        <v/>
      </c>
      <c r="J8" s="4">
        <f>ROUND(IFERROR((INDEX('Level Balance'!$D:$H,$B8,4)-$E8)/($F8-$E8),0)*$C8*$D8,4)</f>
        <v/>
      </c>
      <c r="K8" s="4">
        <f>ROUND(IFERROR((INDEX('Level Balance'!$D:$H,$B8,5)-$E8)/($F8-$E8),0)*$C8*$D8,4)</f>
        <v/>
      </c>
    </row>
    <row r="9">
      <c r="A9" s="2" t="inlineStr">
        <is>
          <t>Cancer Cells Can Attack Healthy</t>
        </is>
      </c>
      <c r="B9" s="4">
        <f>MATCH($A9,'Level Balance'!$A:$A,0)</f>
        <v/>
      </c>
      <c r="C9" s="4">
        <f>INDEX('Difficulty Weighting'!$D:$D,MATCH($A9,'Difficulty Weighting'!$A:$A,0))</f>
        <v/>
      </c>
      <c r="D9" s="4">
        <f>IF(INDEX('Difficulty Weighting'!$C:$C,MATCH($A9,'Difficulty Weighting'!$A:$A,0))="Increases",1,IF(INDEX('Difficulty Weighting'!$C:$C,MATCH($A9,'Difficulty Weighting'!$A:$A,0))="Decreases",-1,0))</f>
        <v/>
      </c>
      <c r="E9" s="4">
        <f>MIN(INDEX('Level Balance'!$D:$H,$B9,1):INDEX('Level Balance'!$D:$H,$B9,5))</f>
        <v/>
      </c>
      <c r="F9" s="4">
        <f>MAX(INDEX('Level Balance'!$D:$H,$B9,1):INDEX('Level Balance'!$D:$H,$B9,5))</f>
        <v/>
      </c>
      <c r="G9" s="4">
        <f>ROUND(IFERROR((INDEX('Level Balance'!$D:$H,$B9,1)-$E9)/($F9-$E9),0)*$C9*$D9,4)</f>
        <v/>
      </c>
      <c r="H9" s="4">
        <f>ROUND(IFERROR((INDEX('Level Balance'!$D:$H,$B9,2)-$E9)/($F9-$E9),0)*$C9*$D9,4)</f>
        <v/>
      </c>
      <c r="I9" s="4">
        <f>ROUND(IFERROR((INDEX('Level Balance'!$D:$H,$B9,3)-$E9)/($F9-$E9),0)*$C9*$D9,4)</f>
        <v/>
      </c>
      <c r="J9" s="4">
        <f>ROUND(IFERROR((INDEX('Level Balance'!$D:$H,$B9,4)-$E9)/($F9-$E9),0)*$C9*$D9,4)</f>
        <v/>
      </c>
      <c r="K9" s="4">
        <f>ROUND(IFERROR((INDEX('Level Balance'!$D:$H,$B9,5)-$E9)/($F9-$E9),0)*$C9*$D9,4)</f>
        <v/>
      </c>
    </row>
    <row r="10">
      <c r="A10" s="2" t="inlineStr">
        <is>
          <t>R-Cell Share (%)</t>
        </is>
      </c>
      <c r="B10" s="4">
        <f>MATCH($A10,'Level Balance'!$A:$A,0)</f>
        <v/>
      </c>
      <c r="C10" s="4">
        <f>INDEX('Difficulty Weighting'!$D:$D,MATCH($A10,'Difficulty Weighting'!$A:$A,0))</f>
        <v/>
      </c>
      <c r="D10" s="4">
        <f>IF(INDEX('Difficulty Weighting'!$C:$C,MATCH($A10,'Difficulty Weighting'!$A:$A,0))="Increases",1,IF(INDEX('Difficulty Weighting'!$C:$C,MATCH($A10,'Difficulty Weighting'!$A:$A,0))="Decreases",-1,0))</f>
        <v/>
      </c>
      <c r="E10" s="4">
        <f>MIN(INDEX('Level Balance'!$D:$H,$B10,1):INDEX('Level Balance'!$D:$H,$B10,5))</f>
        <v/>
      </c>
      <c r="F10" s="4">
        <f>MAX(INDEX('Level Balance'!$D:$H,$B10,1):INDEX('Level Balance'!$D:$H,$B10,5))</f>
        <v/>
      </c>
      <c r="G10" s="4">
        <f>ROUND(IFERROR((INDEX('Level Balance'!$D:$H,$B10,1)-$E10)/($F10-$E10),0)*$C10*$D10,4)</f>
        <v/>
      </c>
      <c r="H10" s="4">
        <f>ROUND(IFERROR((INDEX('Level Balance'!$D:$H,$B10,2)-$E10)/($F10-$E10),0)*$C10*$D10,4)</f>
        <v/>
      </c>
      <c r="I10" s="4">
        <f>ROUND(IFERROR((INDEX('Level Balance'!$D:$H,$B10,3)-$E10)/($F10-$E10),0)*$C10*$D10,4)</f>
        <v/>
      </c>
      <c r="J10" s="4">
        <f>ROUND(IFERROR((INDEX('Level Balance'!$D:$H,$B10,4)-$E10)/($F10-$E10),0)*$C10*$D10,4)</f>
        <v/>
      </c>
      <c r="K10" s="4">
        <f>ROUND(IFERROR((INDEX('Level Balance'!$D:$H,$B10,5)-$E10)/($F10-$E10),0)*$C10*$D10,4)</f>
        <v/>
      </c>
    </row>
    <row r="11">
      <c r="A11" s="2" t="inlineStr">
        <is>
          <t>T-Cell Share (%)</t>
        </is>
      </c>
      <c r="B11" s="4">
        <f>MATCH($A11,'Level Balance'!$A:$A,0)</f>
        <v/>
      </c>
      <c r="C11" s="4">
        <f>INDEX('Difficulty Weighting'!$D:$D,MATCH($A11,'Difficulty Weighting'!$A:$A,0))</f>
        <v/>
      </c>
      <c r="D11" s="4">
        <f>IF(INDEX('Difficulty Weighting'!$C:$C,MATCH($A11,'Difficulty Weighting'!$A:$A,0))="Increases",1,IF(INDEX('Difficulty Weighting'!$C:$C,MATCH($A11,'Difficulty Weighting'!$A:$A,0))="Decreases",-1,0))</f>
        <v/>
      </c>
      <c r="E11" s="4">
        <f>MIN(INDEX('Level Balance'!$D:$H,$B11,1):INDEX('Level Balance'!$D:$H,$B11,5))</f>
        <v/>
      </c>
      <c r="F11" s="4">
        <f>MAX(INDEX('Level Balance'!$D:$H,$B11,1):INDEX('Level Balance'!$D:$H,$B11,5))</f>
        <v/>
      </c>
      <c r="G11" s="4">
        <f>ROUND(IFERROR((INDEX('Level Balance'!$D:$H,$B11,1)-$E11)/($F11-$E11),0)*$C11*$D11,4)</f>
        <v/>
      </c>
      <c r="H11" s="4">
        <f>ROUND(IFERROR((INDEX('Level Balance'!$D:$H,$B11,2)-$E11)/($F11-$E11),0)*$C11*$D11,4)</f>
        <v/>
      </c>
      <c r="I11" s="4">
        <f>ROUND(IFERROR((INDEX('Level Balance'!$D:$H,$B11,3)-$E11)/($F11-$E11),0)*$C11*$D11,4)</f>
        <v/>
      </c>
      <c r="J11" s="4">
        <f>ROUND(IFERROR((INDEX('Level Balance'!$D:$H,$B11,4)-$E11)/($F11-$E11),0)*$C11*$D11,4)</f>
        <v/>
      </c>
      <c r="K11" s="4">
        <f>ROUND(IFERROR((INDEX('Level Balance'!$D:$H,$B11,5)-$E11)/($F11-$E11),0)*$C11*$D11,4)</f>
        <v/>
      </c>
    </row>
    <row r="12">
      <c r="A12" s="2" t="inlineStr">
        <is>
          <t>K-Cell Share (%)</t>
        </is>
      </c>
      <c r="B12" s="4">
        <f>MATCH($A12,'Level Balance'!$A:$A,0)</f>
        <v/>
      </c>
      <c r="C12" s="4">
        <f>INDEX('Difficulty Weighting'!$D:$D,MATCH($A12,'Difficulty Weighting'!$A:$A,0))</f>
        <v/>
      </c>
      <c r="D12" s="4">
        <f>IF(INDEX('Difficulty Weighting'!$C:$C,MATCH($A12,'Difficulty Weighting'!$A:$A,0))="Increases",1,IF(INDEX('Difficulty Weighting'!$C:$C,MATCH($A12,'Difficulty Weighting'!$A:$A,0))="Decreases",-1,0))</f>
        <v/>
      </c>
      <c r="E12" s="4">
        <f>MIN(INDEX('Level Balance'!$D:$H,$B12,1):INDEX('Level Balance'!$D:$H,$B12,5))</f>
        <v/>
      </c>
      <c r="F12" s="4">
        <f>MAX(INDEX('Level Balance'!$D:$H,$B12,1):INDEX('Level Balance'!$D:$H,$B12,5))</f>
        <v/>
      </c>
      <c r="G12" s="4">
        <f>ROUND(IFERROR((INDEX('Level Balance'!$D:$H,$B12,1)-$E12)/($F12-$E12),0)*$C12*$D12,4)</f>
        <v/>
      </c>
      <c r="H12" s="4">
        <f>ROUND(IFERROR((INDEX('Level Balance'!$D:$H,$B12,2)-$E12)/($F12-$E12),0)*$C12*$D12,4)</f>
        <v/>
      </c>
      <c r="I12" s="4">
        <f>ROUND(IFERROR((INDEX('Level Balance'!$D:$H,$B12,3)-$E12)/($F12-$E12),0)*$C12*$D12,4)</f>
        <v/>
      </c>
      <c r="J12" s="4">
        <f>ROUND(IFERROR((INDEX('Level Balance'!$D:$H,$B12,4)-$E12)/($F12-$E12),0)*$C12*$D12,4)</f>
        <v/>
      </c>
      <c r="K12" s="4">
        <f>ROUND(IFERROR((INDEX('Level Balance'!$D:$H,$B12,5)-$E12)/($F12-$E12),0)*$C12*$D12,4)</f>
        <v/>
      </c>
    </row>
    <row r="13">
      <c r="A13" s="2" t="inlineStr">
        <is>
          <t>Cancer Cell Share (%)</t>
        </is>
      </c>
      <c r="B13" s="4">
        <f>MATCH($A13,'Level Balance'!$A:$A,0)</f>
        <v/>
      </c>
      <c r="C13" s="4">
        <f>INDEX('Difficulty Weighting'!$D:$D,MATCH($A13,'Difficulty Weighting'!$A:$A,0))</f>
        <v/>
      </c>
      <c r="D13" s="4">
        <f>IF(INDEX('Difficulty Weighting'!$C:$C,MATCH($A13,'Difficulty Weighting'!$A:$A,0))="Increases",1,IF(INDEX('Difficulty Weighting'!$C:$C,MATCH($A13,'Difficulty Weighting'!$A:$A,0))="Decreases",-1,0))</f>
        <v/>
      </c>
      <c r="E13" s="4">
        <f>MIN(INDEX('Level Balance'!$D:$H,$B13,1):INDEX('Level Balance'!$D:$H,$B13,5))</f>
        <v/>
      </c>
      <c r="F13" s="4">
        <f>MAX(INDEX('Level Balance'!$D:$H,$B13,1):INDEX('Level Balance'!$D:$H,$B13,5))</f>
        <v/>
      </c>
      <c r="G13" s="4">
        <f>ROUND(IFERROR((INDEX('Level Balance'!$D:$H,$B13,1)-$E13)/($F13-$E13),0)*$C13*$D13,4)</f>
        <v/>
      </c>
      <c r="H13" s="4">
        <f>ROUND(IFERROR((INDEX('Level Balance'!$D:$H,$B13,2)-$E13)/($F13-$E13),0)*$C13*$D13,4)</f>
        <v/>
      </c>
      <c r="I13" s="4">
        <f>ROUND(IFERROR((INDEX('Level Balance'!$D:$H,$B13,3)-$E13)/($F13-$E13),0)*$C13*$D13,4)</f>
        <v/>
      </c>
      <c r="J13" s="4">
        <f>ROUND(IFERROR((INDEX('Level Balance'!$D:$H,$B13,4)-$E13)/($F13-$E13),0)*$C13*$D13,4)</f>
        <v/>
      </c>
      <c r="K13" s="4">
        <f>ROUND(IFERROR((INDEX('Level Balance'!$D:$H,$B13,5)-$E13)/($F13-$E13),0)*$C13*$D13,4)</f>
        <v/>
      </c>
    </row>
    <row r="14">
      <c r="A14" s="2" t="inlineStr">
        <is>
          <t>Smart Cancer Cell Share (%)</t>
        </is>
      </c>
      <c r="B14" s="4">
        <f>MATCH($A14,'Level Balance'!$A:$A,0)</f>
        <v/>
      </c>
      <c r="C14" s="4">
        <f>INDEX('Difficulty Weighting'!$D:$D,MATCH($A14,'Difficulty Weighting'!$A:$A,0))</f>
        <v/>
      </c>
      <c r="D14" s="4">
        <f>IF(INDEX('Difficulty Weighting'!$C:$C,MATCH($A14,'Difficulty Weighting'!$A:$A,0))="Increases",1,IF(INDEX('Difficulty Weighting'!$C:$C,MATCH($A14,'Difficulty Weighting'!$A:$A,0))="Decreases",-1,0))</f>
        <v/>
      </c>
      <c r="E14" s="4">
        <f>MIN(INDEX('Level Balance'!$D:$H,$B14,1):INDEX('Level Balance'!$D:$H,$B14,5))</f>
        <v/>
      </c>
      <c r="F14" s="4">
        <f>MAX(INDEX('Level Balance'!$D:$H,$B14,1):INDEX('Level Balance'!$D:$H,$B14,5))</f>
        <v/>
      </c>
      <c r="G14" s="4">
        <f>ROUND(IFERROR((INDEX('Level Balance'!$D:$H,$B14,1)-$E14)/($F14-$E14),0)*$C14*$D14,4)</f>
        <v/>
      </c>
      <c r="H14" s="4">
        <f>ROUND(IFERROR((INDEX('Level Balance'!$D:$H,$B14,2)-$E14)/($F14-$E14),0)*$C14*$D14,4)</f>
        <v/>
      </c>
      <c r="I14" s="4">
        <f>ROUND(IFERROR((INDEX('Level Balance'!$D:$H,$B14,3)-$E14)/($F14-$E14),0)*$C14*$D14,4)</f>
        <v/>
      </c>
      <c r="J14" s="4">
        <f>ROUND(IFERROR((INDEX('Level Balance'!$D:$H,$B14,4)-$E14)/($F14-$E14),0)*$C14*$D14,4)</f>
        <v/>
      </c>
      <c r="K14" s="4">
        <f>ROUND(IFERROR((INDEX('Level Balance'!$D:$H,$B14,5)-$E14)/($F14-$E14),0)*$C14*$D14,4)</f>
        <v/>
      </c>
    </row>
    <row r="15">
      <c r="A15" s="2" t="inlineStr">
        <is>
          <t>T-Cell Click Damage</t>
        </is>
      </c>
      <c r="B15" s="4">
        <f>MATCH($A15,'Level Balance'!$A:$A,0)</f>
        <v/>
      </c>
      <c r="C15" s="4">
        <f>INDEX('Difficulty Weighting'!$D:$D,MATCH($A15,'Difficulty Weighting'!$A:$A,0))</f>
        <v/>
      </c>
      <c r="D15" s="4">
        <f>IF(INDEX('Difficulty Weighting'!$C:$C,MATCH($A15,'Difficulty Weighting'!$A:$A,0))="Increases",1,IF(INDEX('Difficulty Weighting'!$C:$C,MATCH($A15,'Difficulty Weighting'!$A:$A,0))="Decreases",-1,0))</f>
        <v/>
      </c>
      <c r="E15" s="4">
        <f>MIN(INDEX('Level Balance'!$D:$H,$B15,1):INDEX('Level Balance'!$D:$H,$B15,5))</f>
        <v/>
      </c>
      <c r="F15" s="4">
        <f>MAX(INDEX('Level Balance'!$D:$H,$B15,1):INDEX('Level Balance'!$D:$H,$B15,5))</f>
        <v/>
      </c>
      <c r="G15" s="4">
        <f>ROUND(IFERROR((INDEX('Level Balance'!$D:$H,$B15,1)-$E15)/($F15-$E15),0)*$C15*$D15,4)</f>
        <v/>
      </c>
      <c r="H15" s="4">
        <f>ROUND(IFERROR((INDEX('Level Balance'!$D:$H,$B15,2)-$E15)/($F15-$E15),0)*$C15*$D15,4)</f>
        <v/>
      </c>
      <c r="I15" s="4">
        <f>ROUND(IFERROR((INDEX('Level Balance'!$D:$H,$B15,3)-$E15)/($F15-$E15),0)*$C15*$D15,4)</f>
        <v/>
      </c>
      <c r="J15" s="4">
        <f>ROUND(IFERROR((INDEX('Level Balance'!$D:$H,$B15,4)-$E15)/($F15-$E15),0)*$C15*$D15,4)</f>
        <v/>
      </c>
      <c r="K15" s="4">
        <f>ROUND(IFERROR((INDEX('Level Balance'!$D:$H,$B15,5)-$E15)/($F15-$E15),0)*$C15*$D15,4)</f>
        <v/>
      </c>
    </row>
    <row r="16">
      <c r="A16" s="2" t="inlineStr">
        <is>
          <t>K-Cell Click Damage</t>
        </is>
      </c>
      <c r="B16" s="4">
        <f>MATCH($A16,'Level Balance'!$A:$A,0)</f>
        <v/>
      </c>
      <c r="C16" s="4">
        <f>INDEX('Difficulty Weighting'!$D:$D,MATCH($A16,'Difficulty Weighting'!$A:$A,0))</f>
        <v/>
      </c>
      <c r="D16" s="4">
        <f>IF(INDEX('Difficulty Weighting'!$C:$C,MATCH($A16,'Difficulty Weighting'!$A:$A,0))="Increases",1,IF(INDEX('Difficulty Weighting'!$C:$C,MATCH($A16,'Difficulty Weighting'!$A:$A,0))="Decreases",-1,0))</f>
        <v/>
      </c>
      <c r="E16" s="4">
        <f>MIN(INDEX('Level Balance'!$D:$H,$B16,1):INDEX('Level Balance'!$D:$H,$B16,5))</f>
        <v/>
      </c>
      <c r="F16" s="4">
        <f>MAX(INDEX('Level Balance'!$D:$H,$B16,1):INDEX('Level Balance'!$D:$H,$B16,5))</f>
        <v/>
      </c>
      <c r="G16" s="4">
        <f>ROUND(IFERROR((INDEX('Level Balance'!$D:$H,$B16,1)-$E16)/($F16-$E16),0)*$C16*$D16,4)</f>
        <v/>
      </c>
      <c r="H16" s="4">
        <f>ROUND(IFERROR((INDEX('Level Balance'!$D:$H,$B16,2)-$E16)/($F16-$E16),0)*$C16*$D16,4)</f>
        <v/>
      </c>
      <c r="I16" s="4">
        <f>ROUND(IFERROR((INDEX('Level Balance'!$D:$H,$B16,3)-$E16)/($F16-$E16),0)*$C16*$D16,4)</f>
        <v/>
      </c>
      <c r="J16" s="4">
        <f>ROUND(IFERROR((INDEX('Level Balance'!$D:$H,$B16,4)-$E16)/($F16-$E16),0)*$C16*$D16,4)</f>
        <v/>
      </c>
      <c r="K16" s="4">
        <f>ROUND(IFERROR((INDEX('Level Balance'!$D:$H,$B16,5)-$E16)/($F16-$E16),0)*$C16*$D16,4)</f>
        <v/>
      </c>
    </row>
    <row r="17">
      <c r="A17" s="2" t="inlineStr">
        <is>
          <t>T-Cell Auto DPS</t>
        </is>
      </c>
      <c r="B17" s="4">
        <f>MATCH($A17,'Level Balance'!$A:$A,0)</f>
        <v/>
      </c>
      <c r="C17" s="4">
        <f>INDEX('Difficulty Weighting'!$D:$D,MATCH($A17,'Difficulty Weighting'!$A:$A,0))</f>
        <v/>
      </c>
      <c r="D17" s="4">
        <f>IF(INDEX('Difficulty Weighting'!$C:$C,MATCH($A17,'Difficulty Weighting'!$A:$A,0))="Increases",1,IF(INDEX('Difficulty Weighting'!$C:$C,MATCH($A17,'Difficulty Weighting'!$A:$A,0))="Decreases",-1,0))</f>
        <v/>
      </c>
      <c r="E17" s="4">
        <f>MIN(INDEX('Level Balance'!$D:$H,$B17,1):INDEX('Level Balance'!$D:$H,$B17,5))</f>
        <v/>
      </c>
      <c r="F17" s="4">
        <f>MAX(INDEX('Level Balance'!$D:$H,$B17,1):INDEX('Level Balance'!$D:$H,$B17,5))</f>
        <v/>
      </c>
      <c r="G17" s="4">
        <f>ROUND(IFERROR((INDEX('Level Balance'!$D:$H,$B17,1)-$E17)/($F17-$E17),0)*$C17*$D17,4)</f>
        <v/>
      </c>
      <c r="H17" s="4">
        <f>ROUND(IFERROR((INDEX('Level Balance'!$D:$H,$B17,2)-$E17)/($F17-$E17),0)*$C17*$D17,4)</f>
        <v/>
      </c>
      <c r="I17" s="4">
        <f>ROUND(IFERROR((INDEX('Level Balance'!$D:$H,$B17,3)-$E17)/($F17-$E17),0)*$C17*$D17,4)</f>
        <v/>
      </c>
      <c r="J17" s="4">
        <f>ROUND(IFERROR((INDEX('Level Balance'!$D:$H,$B17,4)-$E17)/($F17-$E17),0)*$C17*$D17,4)</f>
        <v/>
      </c>
      <c r="K17" s="4">
        <f>ROUND(IFERROR((INDEX('Level Balance'!$D:$H,$B17,5)-$E17)/($F17-$E17),0)*$C17*$D17,4)</f>
        <v/>
      </c>
    </row>
    <row r="18">
      <c r="A18" s="2" t="inlineStr">
        <is>
          <t>K-Cell Auto DPS</t>
        </is>
      </c>
      <c r="B18" s="4">
        <f>MATCH($A18,'Level Balance'!$A:$A,0)</f>
        <v/>
      </c>
      <c r="C18" s="4">
        <f>INDEX('Difficulty Weighting'!$D:$D,MATCH($A18,'Difficulty Weighting'!$A:$A,0))</f>
        <v/>
      </c>
      <c r="D18" s="4">
        <f>IF(INDEX('Difficulty Weighting'!$C:$C,MATCH($A18,'Difficulty Weighting'!$A:$A,0))="Increases",1,IF(INDEX('Difficulty Weighting'!$C:$C,MATCH($A18,'Difficulty Weighting'!$A:$A,0))="Decreases",-1,0))</f>
        <v/>
      </c>
      <c r="E18" s="4">
        <f>MIN(INDEX('Level Balance'!$D:$H,$B18,1):INDEX('Level Balance'!$D:$H,$B18,5))</f>
        <v/>
      </c>
      <c r="F18" s="4">
        <f>MAX(INDEX('Level Balance'!$D:$H,$B18,1):INDEX('Level Balance'!$D:$H,$B18,5))</f>
        <v/>
      </c>
      <c r="G18" s="4">
        <f>ROUND(IFERROR((INDEX('Level Balance'!$D:$H,$B18,1)-$E18)/($F18-$E18),0)*$C18*$D18,4)</f>
        <v/>
      </c>
      <c r="H18" s="4">
        <f>ROUND(IFERROR((INDEX('Level Balance'!$D:$H,$B18,2)-$E18)/($F18-$E18),0)*$C18*$D18,4)</f>
        <v/>
      </c>
      <c r="I18" s="4">
        <f>ROUND(IFERROR((INDEX('Level Balance'!$D:$H,$B18,3)-$E18)/($F18-$E18),0)*$C18*$D18,4)</f>
        <v/>
      </c>
      <c r="J18" s="4">
        <f>ROUND(IFERROR((INDEX('Level Balance'!$D:$H,$B18,4)-$E18)/($F18-$E18),0)*$C18*$D18,4)</f>
        <v/>
      </c>
      <c r="K18" s="4">
        <f>ROUND(IFERROR((INDEX('Level Balance'!$D:$H,$B18,5)-$E18)/($F18-$E18),0)*$C18*$D18,4)</f>
        <v/>
      </c>
    </row>
    <row r="19">
      <c r="A19" s="2" t="inlineStr">
        <is>
          <t>Cancer Cell Health</t>
        </is>
      </c>
      <c r="B19" s="4">
        <f>MATCH($A19,'Level Balance'!$A:$A,0)</f>
        <v/>
      </c>
      <c r="C19" s="4">
        <f>INDEX('Difficulty Weighting'!$D:$D,MATCH($A19,'Difficulty Weighting'!$A:$A,0))</f>
        <v/>
      </c>
      <c r="D19" s="4">
        <f>IF(INDEX('Difficulty Weighting'!$C:$C,MATCH($A19,'Difficulty Weighting'!$A:$A,0))="Increases",1,IF(INDEX('Difficulty Weighting'!$C:$C,MATCH($A19,'Difficulty Weighting'!$A:$A,0))="Decreases",-1,0))</f>
        <v/>
      </c>
      <c r="E19" s="4">
        <f>MIN(INDEX('Level Balance'!$D:$H,$B19,1):INDEX('Level Balance'!$D:$H,$B19,5))</f>
        <v/>
      </c>
      <c r="F19" s="4">
        <f>MAX(INDEX('Level Balance'!$D:$H,$B19,1):INDEX('Level Balance'!$D:$H,$B19,5))</f>
        <v/>
      </c>
      <c r="G19" s="4">
        <f>ROUND(IFERROR((INDEX('Level Balance'!$D:$H,$B19,1)-$E19)/($F19-$E19),0)*$C19*$D19,4)</f>
        <v/>
      </c>
      <c r="H19" s="4">
        <f>ROUND(IFERROR((INDEX('Level Balance'!$D:$H,$B19,2)-$E19)/($F19-$E19),0)*$C19*$D19,4)</f>
        <v/>
      </c>
      <c r="I19" s="4">
        <f>ROUND(IFERROR((INDEX('Level Balance'!$D:$H,$B19,3)-$E19)/($F19-$E19),0)*$C19*$D19,4)</f>
        <v/>
      </c>
      <c r="J19" s="4">
        <f>ROUND(IFERROR((INDEX('Level Balance'!$D:$H,$B19,4)-$E19)/($F19-$E19),0)*$C19*$D19,4)</f>
        <v/>
      </c>
      <c r="K19" s="4">
        <f>ROUND(IFERROR((INDEX('Level Balance'!$D:$H,$B19,5)-$E19)/($F19-$E19),0)*$C19*$D19,4)</f>
        <v/>
      </c>
    </row>
    <row r="20">
      <c r="A20" s="2" t="inlineStr">
        <is>
          <t>Smart Cancer Cell Health</t>
        </is>
      </c>
      <c r="B20" s="4">
        <f>MATCH($A20,'Level Balance'!$A:$A,0)</f>
        <v/>
      </c>
      <c r="C20" s="4">
        <f>INDEX('Difficulty Weighting'!$D:$D,MATCH($A20,'Difficulty Weighting'!$A:$A,0))</f>
        <v/>
      </c>
      <c r="D20" s="4">
        <f>IF(INDEX('Difficulty Weighting'!$C:$C,MATCH($A20,'Difficulty Weighting'!$A:$A,0))="Increases",1,IF(INDEX('Difficulty Weighting'!$C:$C,MATCH($A20,'Difficulty Weighting'!$A:$A,0))="Decreases",-1,0))</f>
        <v/>
      </c>
      <c r="E20" s="4">
        <f>MIN(INDEX('Level Balance'!$D:$H,$B20,1):INDEX('Level Balance'!$D:$H,$B20,5))</f>
        <v/>
      </c>
      <c r="F20" s="4">
        <f>MAX(INDEX('Level Balance'!$D:$H,$B20,1):INDEX('Level Balance'!$D:$H,$B20,5))</f>
        <v/>
      </c>
      <c r="G20" s="4">
        <f>ROUND(IFERROR((INDEX('Level Balance'!$D:$H,$B20,1)-$E20)/($F20-$E20),0)*$C20*$D20,4)</f>
        <v/>
      </c>
      <c r="H20" s="4">
        <f>ROUND(IFERROR((INDEX('Level Balance'!$D:$H,$B20,2)-$E20)/($F20-$E20),0)*$C20*$D20,4)</f>
        <v/>
      </c>
      <c r="I20" s="4">
        <f>ROUND(IFERROR((INDEX('Level Balance'!$D:$H,$B20,3)-$E20)/($F20-$E20),0)*$C20*$D20,4)</f>
        <v/>
      </c>
      <c r="J20" s="4">
        <f>ROUND(IFERROR((INDEX('Level Balance'!$D:$H,$B20,4)-$E20)/($F20-$E20),0)*$C20*$D20,4)</f>
        <v/>
      </c>
      <c r="K20" s="4">
        <f>ROUND(IFERROR((INDEX('Level Balance'!$D:$H,$B20,5)-$E20)/($F20-$E20),0)*$C20*$D20,4)</f>
        <v/>
      </c>
    </row>
    <row r="21">
      <c r="A21" s="2" t="inlineStr">
        <is>
          <t>R-Cell Split Time (avg sec)</t>
        </is>
      </c>
      <c r="B21" s="4">
        <f>MATCH($A21,'Level Balance'!$A:$A,0)</f>
        <v/>
      </c>
      <c r="C21" s="4">
        <f>INDEX('Difficulty Weighting'!$D:$D,MATCH($A21,'Difficulty Weighting'!$A:$A,0))</f>
        <v/>
      </c>
      <c r="D21" s="4">
        <f>IF(INDEX('Difficulty Weighting'!$C:$C,MATCH($A21,'Difficulty Weighting'!$A:$A,0))="Increases",1,IF(INDEX('Difficulty Weighting'!$C:$C,MATCH($A21,'Difficulty Weighting'!$A:$A,0))="Decreases",-1,0))</f>
        <v/>
      </c>
      <c r="E21" s="4">
        <f>MIN(INDEX('Level Balance'!$D:$H,$B21,1):INDEX('Level Balance'!$D:$H,$B21,5))</f>
        <v/>
      </c>
      <c r="F21" s="4">
        <f>MAX(INDEX('Level Balance'!$D:$H,$B21,1):INDEX('Level Balance'!$D:$H,$B21,5))</f>
        <v/>
      </c>
      <c r="G21" s="4">
        <f>ROUND(IFERROR((INDEX('Level Balance'!$D:$H,$B21,1)-$E21)/($F21-$E21),0)*$C21*$D21,4)</f>
        <v/>
      </c>
      <c r="H21" s="4">
        <f>ROUND(IFERROR((INDEX('Level Balance'!$D:$H,$B21,2)-$E21)/($F21-$E21),0)*$C21*$D21,4)</f>
        <v/>
      </c>
      <c r="I21" s="4">
        <f>ROUND(IFERROR((INDEX('Level Balance'!$D:$H,$B21,3)-$E21)/($F21-$E21),0)*$C21*$D21,4)</f>
        <v/>
      </c>
      <c r="J21" s="4">
        <f>ROUND(IFERROR((INDEX('Level Balance'!$D:$H,$B21,4)-$E21)/($F21-$E21),0)*$C21*$D21,4)</f>
        <v/>
      </c>
      <c r="K21" s="4">
        <f>ROUND(IFERROR((INDEX('Level Balance'!$D:$H,$B21,5)-$E21)/($F21-$E21),0)*$C21*$D21,4)</f>
        <v/>
      </c>
    </row>
    <row r="22">
      <c r="A22" s="2" t="inlineStr">
        <is>
          <t>T-Cell Split Time (avg sec)</t>
        </is>
      </c>
      <c r="B22" s="4">
        <f>MATCH($A22,'Level Balance'!$A:$A,0)</f>
        <v/>
      </c>
      <c r="C22" s="4">
        <f>INDEX('Difficulty Weighting'!$D:$D,MATCH($A22,'Difficulty Weighting'!$A:$A,0))</f>
        <v/>
      </c>
      <c r="D22" s="4">
        <f>IF(INDEX('Difficulty Weighting'!$C:$C,MATCH($A22,'Difficulty Weighting'!$A:$A,0))="Increases",1,IF(INDEX('Difficulty Weighting'!$C:$C,MATCH($A22,'Difficulty Weighting'!$A:$A,0))="Decreases",-1,0))</f>
        <v/>
      </c>
      <c r="E22" s="4">
        <f>MIN(INDEX('Level Balance'!$D:$H,$B22,1):INDEX('Level Balance'!$D:$H,$B22,5))</f>
        <v/>
      </c>
      <c r="F22" s="4">
        <f>MAX(INDEX('Level Balance'!$D:$H,$B22,1):INDEX('Level Balance'!$D:$H,$B22,5))</f>
        <v/>
      </c>
      <c r="G22" s="4">
        <f>ROUND(IFERROR((INDEX('Level Balance'!$D:$H,$B22,1)-$E22)/($F22-$E22),0)*$C22*$D22,4)</f>
        <v/>
      </c>
      <c r="H22" s="4">
        <f>ROUND(IFERROR((INDEX('Level Balance'!$D:$H,$B22,2)-$E22)/($F22-$E22),0)*$C22*$D22,4)</f>
        <v/>
      </c>
      <c r="I22" s="4">
        <f>ROUND(IFERROR((INDEX('Level Balance'!$D:$H,$B22,3)-$E22)/($F22-$E22),0)*$C22*$D22,4)</f>
        <v/>
      </c>
      <c r="J22" s="4">
        <f>ROUND(IFERROR((INDEX('Level Balance'!$D:$H,$B22,4)-$E22)/($F22-$E22),0)*$C22*$D22,4)</f>
        <v/>
      </c>
      <c r="K22" s="4">
        <f>ROUND(IFERROR((INDEX('Level Balance'!$D:$H,$B22,5)-$E22)/($F22-$E22),0)*$C22*$D22,4)</f>
        <v/>
      </c>
    </row>
    <row r="23">
      <c r="A23" s="2" t="inlineStr">
        <is>
          <t>K-Cell Split Time (avg sec)</t>
        </is>
      </c>
      <c r="B23" s="4">
        <f>MATCH($A23,'Level Balance'!$A:$A,0)</f>
        <v/>
      </c>
      <c r="C23" s="4">
        <f>INDEX('Difficulty Weighting'!$D:$D,MATCH($A23,'Difficulty Weighting'!$A:$A,0))</f>
        <v/>
      </c>
      <c r="D23" s="4">
        <f>IF(INDEX('Difficulty Weighting'!$C:$C,MATCH($A23,'Difficulty Weighting'!$A:$A,0))="Increases",1,IF(INDEX('Difficulty Weighting'!$C:$C,MATCH($A23,'Difficulty Weighting'!$A:$A,0))="Decreases",-1,0))</f>
        <v/>
      </c>
      <c r="E23" s="4">
        <f>MIN(INDEX('Level Balance'!$D:$H,$B23,1):INDEX('Level Balance'!$D:$H,$B23,5))</f>
        <v/>
      </c>
      <c r="F23" s="4">
        <f>MAX(INDEX('Level Balance'!$D:$H,$B23,1):INDEX('Level Balance'!$D:$H,$B23,5))</f>
        <v/>
      </c>
      <c r="G23" s="4">
        <f>ROUND(IFERROR((INDEX('Level Balance'!$D:$H,$B23,1)-$E23)/($F23-$E23),0)*$C23*$D23,4)</f>
        <v/>
      </c>
      <c r="H23" s="4">
        <f>ROUND(IFERROR((INDEX('Level Balance'!$D:$H,$B23,2)-$E23)/($F23-$E23),0)*$C23*$D23,4)</f>
        <v/>
      </c>
      <c r="I23" s="4">
        <f>ROUND(IFERROR((INDEX('Level Balance'!$D:$H,$B23,3)-$E23)/($F23-$E23),0)*$C23*$D23,4)</f>
        <v/>
      </c>
      <c r="J23" s="4">
        <f>ROUND(IFERROR((INDEX('Level Balance'!$D:$H,$B23,4)-$E23)/($F23-$E23),0)*$C23*$D23,4)</f>
        <v/>
      </c>
      <c r="K23" s="4">
        <f>ROUND(IFERROR((INDEX('Level Balance'!$D:$H,$B23,5)-$E23)/($F23-$E23),0)*$C23*$D23,4)</f>
        <v/>
      </c>
    </row>
    <row r="24">
      <c r="A24" s="2" t="inlineStr">
        <is>
          <t>Cancer Cell Split Time (avg sec)</t>
        </is>
      </c>
      <c r="B24" s="4">
        <f>MATCH($A24,'Level Balance'!$A:$A,0)</f>
        <v/>
      </c>
      <c r="C24" s="4">
        <f>INDEX('Difficulty Weighting'!$D:$D,MATCH($A24,'Difficulty Weighting'!$A:$A,0))</f>
        <v/>
      </c>
      <c r="D24" s="4">
        <f>IF(INDEX('Difficulty Weighting'!$C:$C,MATCH($A24,'Difficulty Weighting'!$A:$A,0))="Increases",1,IF(INDEX('Difficulty Weighting'!$C:$C,MATCH($A24,'Difficulty Weighting'!$A:$A,0))="Decreases",-1,0))</f>
        <v/>
      </c>
      <c r="E24" s="4">
        <f>MIN(INDEX('Level Balance'!$D:$H,$B24,1):INDEX('Level Balance'!$D:$H,$B24,5))</f>
        <v/>
      </c>
      <c r="F24" s="4">
        <f>MAX(INDEX('Level Balance'!$D:$H,$B24,1):INDEX('Level Balance'!$D:$H,$B24,5))</f>
        <v/>
      </c>
      <c r="G24" s="4">
        <f>ROUND(IFERROR((INDEX('Level Balance'!$D:$H,$B24,1)-$E24)/($F24-$E24),0)*$C24*$D24,4)</f>
        <v/>
      </c>
      <c r="H24" s="4">
        <f>ROUND(IFERROR((INDEX('Level Balance'!$D:$H,$B24,2)-$E24)/($F24-$E24),0)*$C24*$D24,4)</f>
        <v/>
      </c>
      <c r="I24" s="4">
        <f>ROUND(IFERROR((INDEX('Level Balance'!$D:$H,$B24,3)-$E24)/($F24-$E24),0)*$C24*$D24,4)</f>
        <v/>
      </c>
      <c r="J24" s="4">
        <f>ROUND(IFERROR((INDEX('Level Balance'!$D:$H,$B24,4)-$E24)/($F24-$E24),0)*$C24*$D24,4)</f>
        <v/>
      </c>
      <c r="K24" s="4">
        <f>ROUND(IFERROR((INDEX('Level Balance'!$D:$H,$B24,5)-$E24)/($F24-$E24),0)*$C24*$D24,4)</f>
        <v/>
      </c>
    </row>
    <row r="25">
      <c r="A25" s="2" t="inlineStr">
        <is>
          <t>Smart Cancer Cell Split Time (avg sec)</t>
        </is>
      </c>
      <c r="B25" s="4">
        <f>MATCH($A25,'Level Balance'!$A:$A,0)</f>
        <v/>
      </c>
      <c r="C25" s="4">
        <f>INDEX('Difficulty Weighting'!$D:$D,MATCH($A25,'Difficulty Weighting'!$A:$A,0))</f>
        <v/>
      </c>
      <c r="D25" s="4">
        <f>IF(INDEX('Difficulty Weighting'!$C:$C,MATCH($A25,'Difficulty Weighting'!$A:$A,0))="Increases",1,IF(INDEX('Difficulty Weighting'!$C:$C,MATCH($A25,'Difficulty Weighting'!$A:$A,0))="Decreases",-1,0))</f>
        <v/>
      </c>
      <c r="E25" s="4">
        <f>MIN(INDEX('Level Balance'!$D:$H,$B25,1):INDEX('Level Balance'!$D:$H,$B25,5))</f>
        <v/>
      </c>
      <c r="F25" s="4">
        <f>MAX(INDEX('Level Balance'!$D:$H,$B25,1):INDEX('Level Balance'!$D:$H,$B25,5))</f>
        <v/>
      </c>
      <c r="G25" s="4">
        <f>ROUND(IFERROR((INDEX('Level Balance'!$D:$H,$B25,1)-$E25)/($F25-$E25),0)*$C25*$D25,4)</f>
        <v/>
      </c>
      <c r="H25" s="4">
        <f>ROUND(IFERROR((INDEX('Level Balance'!$D:$H,$B25,2)-$E25)/($F25-$E25),0)*$C25*$D25,4)</f>
        <v/>
      </c>
      <c r="I25" s="4">
        <f>ROUND(IFERROR((INDEX('Level Balance'!$D:$H,$B25,3)-$E25)/($F25-$E25),0)*$C25*$D25,4)</f>
        <v/>
      </c>
      <c r="J25" s="4">
        <f>ROUND(IFERROR((INDEX('Level Balance'!$D:$H,$B25,4)-$E25)/($F25-$E25),0)*$C25*$D25,4)</f>
        <v/>
      </c>
      <c r="K25" s="4">
        <f>ROUND(IFERROR((INDEX('Level Balance'!$D:$H,$B25,5)-$E25)/($F25-$E25),0)*$C25*$D25,4)</f>
        <v/>
      </c>
    </row>
    <row r="26">
      <c r="A26" s="2" t="inlineStr">
        <is>
          <t>R-Cell Lifetime (sec)</t>
        </is>
      </c>
      <c r="B26" s="4">
        <f>MATCH($A26,'Level Balance'!$A:$A,0)</f>
        <v/>
      </c>
      <c r="C26" s="4">
        <f>INDEX('Difficulty Weighting'!$D:$D,MATCH($A26,'Difficulty Weighting'!$A:$A,0))</f>
        <v/>
      </c>
      <c r="D26" s="4">
        <f>IF(INDEX('Difficulty Weighting'!$C:$C,MATCH($A26,'Difficulty Weighting'!$A:$A,0))="Increases",1,IF(INDEX('Difficulty Weighting'!$C:$C,MATCH($A26,'Difficulty Weighting'!$A:$A,0))="Decreases",-1,0))</f>
        <v/>
      </c>
      <c r="E26" s="4">
        <f>MIN(INDEX('Level Balance'!$D:$H,$B26,1):INDEX('Level Balance'!$D:$H,$B26,5))</f>
        <v/>
      </c>
      <c r="F26" s="4">
        <f>MAX(INDEX('Level Balance'!$D:$H,$B26,1):INDEX('Level Balance'!$D:$H,$B26,5))</f>
        <v/>
      </c>
      <c r="G26" s="4">
        <f>ROUND(IFERROR((INDEX('Level Balance'!$D:$H,$B26,1)-$E26)/($F26-$E26),0)*$C26*$D26,4)</f>
        <v/>
      </c>
      <c r="H26" s="4">
        <f>ROUND(IFERROR((INDEX('Level Balance'!$D:$H,$B26,2)-$E26)/($F26-$E26),0)*$C26*$D26,4)</f>
        <v/>
      </c>
      <c r="I26" s="4">
        <f>ROUND(IFERROR((INDEX('Level Balance'!$D:$H,$B26,3)-$E26)/($F26-$E26),0)*$C26*$D26,4)</f>
        <v/>
      </c>
      <c r="J26" s="4">
        <f>ROUND(IFERROR((INDEX('Level Balance'!$D:$H,$B26,4)-$E26)/($F26-$E26),0)*$C26*$D26,4)</f>
        <v/>
      </c>
      <c r="K26" s="4">
        <f>ROUND(IFERROR((INDEX('Level Balance'!$D:$H,$B26,5)-$E26)/($F26-$E26),0)*$C26*$D26,4)</f>
        <v/>
      </c>
    </row>
    <row r="27">
      <c r="A27" s="2" t="inlineStr">
        <is>
          <t>T-Cell Lifetime (sec)</t>
        </is>
      </c>
      <c r="B27" s="4">
        <f>MATCH($A27,'Level Balance'!$A:$A,0)</f>
        <v/>
      </c>
      <c r="C27" s="4">
        <f>INDEX('Difficulty Weighting'!$D:$D,MATCH($A27,'Difficulty Weighting'!$A:$A,0))</f>
        <v/>
      </c>
      <c r="D27" s="4">
        <f>IF(INDEX('Difficulty Weighting'!$C:$C,MATCH($A27,'Difficulty Weighting'!$A:$A,0))="Increases",1,IF(INDEX('Difficulty Weighting'!$C:$C,MATCH($A27,'Difficulty Weighting'!$A:$A,0))="Decreases",-1,0))</f>
        <v/>
      </c>
      <c r="E27" s="4">
        <f>MIN(INDEX('Level Balance'!$D:$H,$B27,1):INDEX('Level Balance'!$D:$H,$B27,5))</f>
        <v/>
      </c>
      <c r="F27" s="4">
        <f>MAX(INDEX('Level Balance'!$D:$H,$B27,1):INDEX('Level Balance'!$D:$H,$B27,5))</f>
        <v/>
      </c>
      <c r="G27" s="4">
        <f>ROUND(IFERROR((INDEX('Level Balance'!$D:$H,$B27,1)-$E27)/($F27-$E27),0)*$C27*$D27,4)</f>
        <v/>
      </c>
      <c r="H27" s="4">
        <f>ROUND(IFERROR((INDEX('Level Balance'!$D:$H,$B27,2)-$E27)/($F27-$E27),0)*$C27*$D27,4)</f>
        <v/>
      </c>
      <c r="I27" s="4">
        <f>ROUND(IFERROR((INDEX('Level Balance'!$D:$H,$B27,3)-$E27)/($F27-$E27),0)*$C27*$D27,4)</f>
        <v/>
      </c>
      <c r="J27" s="4">
        <f>ROUND(IFERROR((INDEX('Level Balance'!$D:$H,$B27,4)-$E27)/($F27-$E27),0)*$C27*$D27,4)</f>
        <v/>
      </c>
      <c r="K27" s="4">
        <f>ROUND(IFERROR((INDEX('Level Balance'!$D:$H,$B27,5)-$E27)/($F27-$E27),0)*$C27*$D27,4)</f>
        <v/>
      </c>
    </row>
    <row r="28">
      <c r="A28" s="2" t="inlineStr">
        <is>
          <t>K-Cell Lifetime (sec)</t>
        </is>
      </c>
      <c r="B28" s="4">
        <f>MATCH($A28,'Level Balance'!$A:$A,0)</f>
        <v/>
      </c>
      <c r="C28" s="4">
        <f>INDEX('Difficulty Weighting'!$D:$D,MATCH($A28,'Difficulty Weighting'!$A:$A,0))</f>
        <v/>
      </c>
      <c r="D28" s="4">
        <f>IF(INDEX('Difficulty Weighting'!$C:$C,MATCH($A28,'Difficulty Weighting'!$A:$A,0))="Increases",1,IF(INDEX('Difficulty Weighting'!$C:$C,MATCH($A28,'Difficulty Weighting'!$A:$A,0))="Decreases",-1,0))</f>
        <v/>
      </c>
      <c r="E28" s="4">
        <f>MIN(INDEX('Level Balance'!$D:$H,$B28,1):INDEX('Level Balance'!$D:$H,$B28,5))</f>
        <v/>
      </c>
      <c r="F28" s="4">
        <f>MAX(INDEX('Level Balance'!$D:$H,$B28,1):INDEX('Level Balance'!$D:$H,$B28,5))</f>
        <v/>
      </c>
      <c r="G28" s="4">
        <f>ROUND(IFERROR((INDEX('Level Balance'!$D:$H,$B28,1)-$E28)/($F28-$E28),0)*$C28*$D28,4)</f>
        <v/>
      </c>
      <c r="H28" s="4">
        <f>ROUND(IFERROR((INDEX('Level Balance'!$D:$H,$B28,2)-$E28)/($F28-$E28),0)*$C28*$D28,4)</f>
        <v/>
      </c>
      <c r="I28" s="4">
        <f>ROUND(IFERROR((INDEX('Level Balance'!$D:$H,$B28,3)-$E28)/($F28-$E28),0)*$C28*$D28,4)</f>
        <v/>
      </c>
      <c r="J28" s="4">
        <f>ROUND(IFERROR((INDEX('Level Balance'!$D:$H,$B28,4)-$E28)/($F28-$E28),0)*$C28*$D28,4)</f>
        <v/>
      </c>
      <c r="K28" s="4">
        <f>ROUND(IFERROR((INDEX('Level Balance'!$D:$H,$B28,5)-$E28)/($F28-$E28),0)*$C28*$D28,4)</f>
        <v/>
      </c>
    </row>
    <row r="29">
      <c r="A29" s="2" t="inlineStr">
        <is>
          <t>Cancer Cell Impact (per damage tick)</t>
        </is>
      </c>
      <c r="B29" s="4">
        <f>MATCH($A29,'Level Balance'!$A:$A,0)</f>
        <v/>
      </c>
      <c r="C29" s="4">
        <f>INDEX('Difficulty Weighting'!$D:$D,MATCH($A29,'Difficulty Weighting'!$A:$A,0))</f>
        <v/>
      </c>
      <c r="D29" s="4">
        <f>IF(INDEX('Difficulty Weighting'!$C:$C,MATCH($A29,'Difficulty Weighting'!$A:$A,0))="Increases",1,IF(INDEX('Difficulty Weighting'!$C:$C,MATCH($A29,'Difficulty Weighting'!$A:$A,0))="Decreases",-1,0))</f>
        <v/>
      </c>
      <c r="E29" s="4">
        <f>MIN(INDEX('Level Balance'!$D:$H,$B29,1):INDEX('Level Balance'!$D:$H,$B29,5))</f>
        <v/>
      </c>
      <c r="F29" s="4">
        <f>MAX(INDEX('Level Balance'!$D:$H,$B29,1):INDEX('Level Balance'!$D:$H,$B29,5))</f>
        <v/>
      </c>
      <c r="G29" s="4">
        <f>ROUND(IFERROR((INDEX('Level Balance'!$D:$H,$B29,1)-$E29)/($F29-$E29),0)*$C29*$D29,4)</f>
        <v/>
      </c>
      <c r="H29" s="4">
        <f>ROUND(IFERROR((INDEX('Level Balance'!$D:$H,$B29,2)-$E29)/($F29-$E29),0)*$C29*$D29,4)</f>
        <v/>
      </c>
      <c r="I29" s="4">
        <f>ROUND(IFERROR((INDEX('Level Balance'!$D:$H,$B29,3)-$E29)/($F29-$E29),0)*$C29*$D29,4)</f>
        <v/>
      </c>
      <c r="J29" s="4">
        <f>ROUND(IFERROR((INDEX('Level Balance'!$D:$H,$B29,4)-$E29)/($F29-$E29),0)*$C29*$D29,4)</f>
        <v/>
      </c>
      <c r="K29" s="4">
        <f>ROUND(IFERROR((INDEX('Level Balance'!$D:$H,$B29,5)-$E29)/($F29-$E29),0)*$C29*$D29,4)</f>
        <v/>
      </c>
    </row>
    <row r="30">
      <c r="A30" s="2" t="inlineStr">
        <is>
          <t>Smart Cancer Cell Impact (per damage tick)</t>
        </is>
      </c>
      <c r="B30" s="4">
        <f>MATCH($A30,'Level Balance'!$A:$A,0)</f>
        <v/>
      </c>
      <c r="C30" s="4">
        <f>INDEX('Difficulty Weighting'!$D:$D,MATCH($A30,'Difficulty Weighting'!$A:$A,0))</f>
        <v/>
      </c>
      <c r="D30" s="4">
        <f>IF(INDEX('Difficulty Weighting'!$C:$C,MATCH($A30,'Difficulty Weighting'!$A:$A,0))="Increases",1,IF(INDEX('Difficulty Weighting'!$C:$C,MATCH($A30,'Difficulty Weighting'!$A:$A,0))="Decreases",-1,0))</f>
        <v/>
      </c>
      <c r="E30" s="4">
        <f>MIN(INDEX('Level Balance'!$D:$H,$B30,1):INDEX('Level Balance'!$D:$H,$B30,5))</f>
        <v/>
      </c>
      <c r="F30" s="4">
        <f>MAX(INDEX('Level Balance'!$D:$H,$B30,1):INDEX('Level Balance'!$D:$H,$B30,5))</f>
        <v/>
      </c>
      <c r="G30" s="4">
        <f>ROUND(IFERROR((INDEX('Level Balance'!$D:$H,$B30,1)-$E30)/($F30-$E30),0)*$C30*$D30,4)</f>
        <v/>
      </c>
      <c r="H30" s="4">
        <f>ROUND(IFERROR((INDEX('Level Balance'!$D:$H,$B30,2)-$E30)/($F30-$E30),0)*$C30*$D30,4)</f>
        <v/>
      </c>
      <c r="I30" s="4">
        <f>ROUND(IFERROR((INDEX('Level Balance'!$D:$H,$B30,3)-$E30)/($F30-$E30),0)*$C30*$D30,4)</f>
        <v/>
      </c>
      <c r="J30" s="4">
        <f>ROUND(IFERROR((INDEX('Level Balance'!$D:$H,$B30,4)-$E30)/($F30-$E30),0)*$C30*$D30,4)</f>
        <v/>
      </c>
      <c r="K30" s="4">
        <f>ROUND(IFERROR((INDEX('Level Balance'!$D:$H,$B30,5)-$E30)/($F30-$E30),0)*$C30*$D30,4)</f>
        <v/>
      </c>
    </row>
    <row r="31">
      <c r="A31" s="2" t="inlineStr">
        <is>
          <t>Cancer Attack DPS -- Cancer Cell (total, split)</t>
        </is>
      </c>
      <c r="B31" s="4">
        <f>MATCH($A31,'Level Balance'!$A:$A,0)</f>
        <v/>
      </c>
      <c r="C31" s="4">
        <f>INDEX('Difficulty Weighting'!$D:$D,MATCH($A31,'Difficulty Weighting'!$A:$A,0))</f>
        <v/>
      </c>
      <c r="D31" s="4">
        <f>IF(INDEX('Difficulty Weighting'!$C:$C,MATCH($A31,'Difficulty Weighting'!$A:$A,0))="Increases",1,IF(INDEX('Difficulty Weighting'!$C:$C,MATCH($A31,'Difficulty Weighting'!$A:$A,0))="Decreases",-1,0))</f>
        <v/>
      </c>
      <c r="E31" s="4">
        <f>MIN(INDEX('Level Balance'!$D:$H,$B31,1):INDEX('Level Balance'!$D:$H,$B31,5))</f>
        <v/>
      </c>
      <c r="F31" s="4">
        <f>MAX(INDEX('Level Balance'!$D:$H,$B31,1):INDEX('Level Balance'!$D:$H,$B31,5))</f>
        <v/>
      </c>
      <c r="G31" s="4">
        <f>ROUND(IFERROR((INDEX('Level Balance'!$D:$H,$B31,1)-$E31)/($F31-$E31),0)*$C31*$D31,4)</f>
        <v/>
      </c>
      <c r="H31" s="4">
        <f>ROUND(IFERROR((INDEX('Level Balance'!$D:$H,$B31,2)-$E31)/($F31-$E31),0)*$C31*$D31,4)</f>
        <v/>
      </c>
      <c r="I31" s="4">
        <f>ROUND(IFERROR((INDEX('Level Balance'!$D:$H,$B31,3)-$E31)/($F31-$E31),0)*$C31*$D31,4)</f>
        <v/>
      </c>
      <c r="J31" s="4">
        <f>ROUND(IFERROR((INDEX('Level Balance'!$D:$H,$B31,4)-$E31)/($F31-$E31),0)*$C31*$D31,4)</f>
        <v/>
      </c>
      <c r="K31" s="4">
        <f>ROUND(IFERROR((INDEX('Level Balance'!$D:$H,$B31,5)-$E31)/($F31-$E31),0)*$C31*$D31,4)</f>
        <v/>
      </c>
    </row>
    <row r="32">
      <c r="A32" s="2" t="inlineStr">
        <is>
          <t>Cancer Attack DPS -- Smart Cancer Cell (total, split)</t>
        </is>
      </c>
      <c r="B32" s="4">
        <f>MATCH($A32,'Level Balance'!$A:$A,0)</f>
        <v/>
      </c>
      <c r="C32" s="4">
        <f>INDEX('Difficulty Weighting'!$D:$D,MATCH($A32,'Difficulty Weighting'!$A:$A,0))</f>
        <v/>
      </c>
      <c r="D32" s="4">
        <f>IF(INDEX('Difficulty Weighting'!$C:$C,MATCH($A32,'Difficulty Weighting'!$A:$A,0))="Increases",1,IF(INDEX('Difficulty Weighting'!$C:$C,MATCH($A32,'Difficulty Weighting'!$A:$A,0))="Decreases",-1,0))</f>
        <v/>
      </c>
      <c r="E32" s="4">
        <f>MIN(INDEX('Level Balance'!$D:$H,$B32,1):INDEX('Level Balance'!$D:$H,$B32,5))</f>
        <v/>
      </c>
      <c r="F32" s="4">
        <f>MAX(INDEX('Level Balance'!$D:$H,$B32,1):INDEX('Level Balance'!$D:$H,$B32,5))</f>
        <v/>
      </c>
      <c r="G32" s="4">
        <f>ROUND(IFERROR((INDEX('Level Balance'!$D:$H,$B32,1)-$E32)/($F32-$E32),0)*$C32*$D32,4)</f>
        <v/>
      </c>
      <c r="H32" s="4">
        <f>ROUND(IFERROR((INDEX('Level Balance'!$D:$H,$B32,2)-$E32)/($F32-$E32),0)*$C32*$D32,4)</f>
        <v/>
      </c>
      <c r="I32" s="4">
        <f>ROUND(IFERROR((INDEX('Level Balance'!$D:$H,$B32,3)-$E32)/($F32-$E32),0)*$C32*$D32,4)</f>
        <v/>
      </c>
      <c r="J32" s="4">
        <f>ROUND(IFERROR((INDEX('Level Balance'!$D:$H,$B32,4)-$E32)/($F32-$E32),0)*$C32*$D32,4)</f>
        <v/>
      </c>
      <c r="K32" s="4">
        <f>ROUND(IFERROR((INDEX('Level Balance'!$D:$H,$B32,5)-$E32)/($F32-$E32),0)*$C32*$D32,4)</f>
        <v/>
      </c>
    </row>
    <row r="33">
      <c r="A33" s="2" t="inlineStr">
        <is>
          <t>Healthy Cell HP -- R-Cell (counter-attack)</t>
        </is>
      </c>
      <c r="B33" s="4">
        <f>MATCH($A33,'Level Balance'!$A:$A,0)</f>
        <v/>
      </c>
      <c r="C33" s="4">
        <f>INDEX('Difficulty Weighting'!$D:$D,MATCH($A33,'Difficulty Weighting'!$A:$A,0))</f>
        <v/>
      </c>
      <c r="D33" s="4">
        <f>IF(INDEX('Difficulty Weighting'!$C:$C,MATCH($A33,'Difficulty Weighting'!$A:$A,0))="Increases",1,IF(INDEX('Difficulty Weighting'!$C:$C,MATCH($A33,'Difficulty Weighting'!$A:$A,0))="Decreases",-1,0))</f>
        <v/>
      </c>
      <c r="E33" s="4">
        <f>MIN(INDEX('Level Balance'!$D:$H,$B33,1):INDEX('Level Balance'!$D:$H,$B33,5))</f>
        <v/>
      </c>
      <c r="F33" s="4">
        <f>MAX(INDEX('Level Balance'!$D:$H,$B33,1):INDEX('Level Balance'!$D:$H,$B33,5))</f>
        <v/>
      </c>
      <c r="G33" s="4">
        <f>ROUND(IFERROR((INDEX('Level Balance'!$D:$H,$B33,1)-$E33)/($F33-$E33),0)*$C33*$D33,4)</f>
        <v/>
      </c>
      <c r="H33" s="4">
        <f>ROUND(IFERROR((INDEX('Level Balance'!$D:$H,$B33,2)-$E33)/($F33-$E33),0)*$C33*$D33,4)</f>
        <v/>
      </c>
      <c r="I33" s="4">
        <f>ROUND(IFERROR((INDEX('Level Balance'!$D:$H,$B33,3)-$E33)/($F33-$E33),0)*$C33*$D33,4)</f>
        <v/>
      </c>
      <c r="J33" s="4">
        <f>ROUND(IFERROR((INDEX('Level Balance'!$D:$H,$B33,4)-$E33)/($F33-$E33),0)*$C33*$D33,4)</f>
        <v/>
      </c>
      <c r="K33" s="4">
        <f>ROUND(IFERROR((INDEX('Level Balance'!$D:$H,$B33,5)-$E33)/($F33-$E33),0)*$C33*$D33,4)</f>
        <v/>
      </c>
    </row>
    <row r="34">
      <c r="A34" s="2" t="inlineStr">
        <is>
          <t>Healthy Cell HP -- T-Cell (counter-attack)</t>
        </is>
      </c>
      <c r="B34" s="4">
        <f>MATCH($A34,'Level Balance'!$A:$A,0)</f>
        <v/>
      </c>
      <c r="C34" s="4">
        <f>INDEX('Difficulty Weighting'!$D:$D,MATCH($A34,'Difficulty Weighting'!$A:$A,0))</f>
        <v/>
      </c>
      <c r="D34" s="4">
        <f>IF(INDEX('Difficulty Weighting'!$C:$C,MATCH($A34,'Difficulty Weighting'!$A:$A,0))="Increases",1,IF(INDEX('Difficulty Weighting'!$C:$C,MATCH($A34,'Difficulty Weighting'!$A:$A,0))="Decreases",-1,0))</f>
        <v/>
      </c>
      <c r="E34" s="4">
        <f>MIN(INDEX('Level Balance'!$D:$H,$B34,1):INDEX('Level Balance'!$D:$H,$B34,5))</f>
        <v/>
      </c>
      <c r="F34" s="4">
        <f>MAX(INDEX('Level Balance'!$D:$H,$B34,1):INDEX('Level Balance'!$D:$H,$B34,5))</f>
        <v/>
      </c>
      <c r="G34" s="4">
        <f>ROUND(IFERROR((INDEX('Level Balance'!$D:$H,$B34,1)-$E34)/($F34-$E34),0)*$C34*$D34,4)</f>
        <v/>
      </c>
      <c r="H34" s="4">
        <f>ROUND(IFERROR((INDEX('Level Balance'!$D:$H,$B34,2)-$E34)/($F34-$E34),0)*$C34*$D34,4)</f>
        <v/>
      </c>
      <c r="I34" s="4">
        <f>ROUND(IFERROR((INDEX('Level Balance'!$D:$H,$B34,3)-$E34)/($F34-$E34),0)*$C34*$D34,4)</f>
        <v/>
      </c>
      <c r="J34" s="4">
        <f>ROUND(IFERROR((INDEX('Level Balance'!$D:$H,$B34,4)-$E34)/($F34-$E34),0)*$C34*$D34,4)</f>
        <v/>
      </c>
      <c r="K34" s="4">
        <f>ROUND(IFERROR((INDEX('Level Balance'!$D:$H,$B34,5)-$E34)/($F34-$E34),0)*$C34*$D34,4)</f>
        <v/>
      </c>
    </row>
    <row r="35">
      <c r="A35" s="2" t="inlineStr">
        <is>
          <t>Healthy Cell HP -- K-Cell (counter-attack)</t>
        </is>
      </c>
      <c r="B35" s="4">
        <f>MATCH($A35,'Level Balance'!$A:$A,0)</f>
        <v/>
      </c>
      <c r="C35" s="4">
        <f>INDEX('Difficulty Weighting'!$D:$D,MATCH($A35,'Difficulty Weighting'!$A:$A,0))</f>
        <v/>
      </c>
      <c r="D35" s="4">
        <f>IF(INDEX('Difficulty Weighting'!$C:$C,MATCH($A35,'Difficulty Weighting'!$A:$A,0))="Increases",1,IF(INDEX('Difficulty Weighting'!$C:$C,MATCH($A35,'Difficulty Weighting'!$A:$A,0))="Decreases",-1,0))</f>
        <v/>
      </c>
      <c r="E35" s="4">
        <f>MIN(INDEX('Level Balance'!$D:$H,$B35,1):INDEX('Level Balance'!$D:$H,$B35,5))</f>
        <v/>
      </c>
      <c r="F35" s="4">
        <f>MAX(INDEX('Level Balance'!$D:$H,$B35,1):INDEX('Level Balance'!$D:$H,$B35,5))</f>
        <v/>
      </c>
      <c r="G35" s="4">
        <f>ROUND(IFERROR((INDEX('Level Balance'!$D:$H,$B35,1)-$E35)/($F35-$E35),0)*$C35*$D35,4)</f>
        <v/>
      </c>
      <c r="H35" s="4">
        <f>ROUND(IFERROR((INDEX('Level Balance'!$D:$H,$B35,2)-$E35)/($F35-$E35),0)*$C35*$D35,4)</f>
        <v/>
      </c>
      <c r="I35" s="4">
        <f>ROUND(IFERROR((INDEX('Level Balance'!$D:$H,$B35,3)-$E35)/($F35-$E35),0)*$C35*$D35,4)</f>
        <v/>
      </c>
      <c r="J35" s="4">
        <f>ROUND(IFERROR((INDEX('Level Balance'!$D:$H,$B35,4)-$E35)/($F35-$E35),0)*$C35*$D35,4)</f>
        <v/>
      </c>
      <c r="K35" s="4">
        <f>ROUND(IFERROR((INDEX('Level Balance'!$D:$H,$B35,5)-$E35)/($F35-$E35),0)*$C35*$D35,4)</f>
        <v/>
      </c>
    </row>
    <row r="36">
      <c r="A36" s="14" t="inlineStr">
        <is>
          <t>TOTAL WEIGHTED SCORE</t>
        </is>
      </c>
      <c r="B36" s="15" t="n"/>
      <c r="C36" s="15" t="n"/>
      <c r="D36" s="15" t="n"/>
      <c r="E36" s="15" t="n"/>
      <c r="F36" s="15" t="n"/>
      <c r="G36" s="16">
        <f>SUM(G2:G35)</f>
        <v/>
      </c>
      <c r="H36" s="16">
        <f>SUM(H2:H35)</f>
        <v/>
      </c>
      <c r="I36" s="16">
        <f>SUM(I2:I35)</f>
        <v/>
      </c>
      <c r="J36" s="16">
        <f>SUM(J2:J35)</f>
        <v/>
      </c>
      <c r="K36" s="16">
        <f>SUM(K2:K35)</f>
        <v/>
      </c>
    </row>
    <row r="37">
      <c r="A37" s="17" t="inlineStr">
        <is>
          <t>DIFFICULTY INDEX (0-100)</t>
        </is>
      </c>
      <c r="B37" s="15" t="n"/>
      <c r="C37" s="15" t="n"/>
      <c r="D37" s="15" t="n"/>
      <c r="E37" s="15" t="n"/>
      <c r="F37" s="15" t="n"/>
      <c r="G37" s="18">
        <f>ROUND((G36-MIN(G36:K36))/(MAX(G36:K36)-MIN(G36:K36))*100,1)</f>
        <v/>
      </c>
      <c r="H37" s="18">
        <f>ROUND((H36-MIN(G36:K36))/(MAX(G36:K36)-MIN(G36:K36))*100,1)</f>
        <v/>
      </c>
      <c r="I37" s="18">
        <f>ROUND((I36-MIN(G36:K36))/(MAX(G36:K36)-MIN(G36:K36))*100,1)</f>
        <v/>
      </c>
      <c r="J37" s="18">
        <f>ROUND((J36-MIN(G36:K36))/(MAX(G36:K36)-MIN(G36:K36))*100,1)</f>
        <v/>
      </c>
      <c r="K37" s="18">
        <f>ROUND((K36-MIN(G36:K36))/(MAX(G36:K36)-MIN(G36:K36))*100,1)</f>
        <v/>
      </c>
    </row>
    <row r="39" ht="60" customHeight="1">
      <c r="A39" s="9" t="inlineStr">
        <is>
          <t>How this is computed: each parameter’s Level 1-5 values are min-max normalized to 0-1 (Tutorial excluded), multiplied by its Weight and by +1/-1 depending on whether it Increases or Decreases difficulty (from the Difficulty Weighting sheet), then summed per level into a TOTAL WEIGHTED SCORE. The DIFFICULTY INDEX rescales that total to 0-100 across Level 1-5 so the hardest of the five reads 100 and the easiest reads 0 -- it is a relative ranking of these five levels against each other, not an absolute difficulty unit. All cells above are live formulas: editing any value on the Level Balance sheet, or any Weight/Direction on the Difficulty Weighting sheet, recalculates this entire sheet.</t>
        </is>
      </c>
    </row>
  </sheetData>
  <mergeCells count="1">
    <mergeCell ref="A39:K39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2026-07-19T22:00:43Z</dcterms:created>
  <dcterms:modified xmlns:dcterms="http://purl.org/dc/terms/" xmlns:xsi="http://www.w3.org/2001/XMLSchema-instance" xsi:type="dcterms:W3CDTF">2026-07-19T22:01:28Z</dcterms:modified>
  <cp:lastModifiedBy>Unknown</cp:lastModifiedBy>
</cp:coreProperties>
</file>